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aa118514a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98b39b944d94b9c"/>
    <x:sheet xmlns:r="http://schemas.openxmlformats.org/officeDocument/2006/relationships" name="Orçamento mensal" sheetId="2" r:id="R3f50ae68d06849cc"/>
    <x:sheet xmlns:r="http://schemas.openxmlformats.org/officeDocument/2006/relationships" name="Meta 2026" sheetId="3" r:id="R26e24f7eb21242ad"/>
    <x:sheet xmlns:r="http://schemas.openxmlformats.org/officeDocument/2006/relationships" name="Projeção 2027" sheetId="4" r:id="R771c6454c1cb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R$ &quot; #,##0.00;[Red](&quot;R$ &quot; #,##0.00)"/>
    <x:numFmt numFmtId="165" formatCode="0.0%"/>
    <x:numFmt numFmtId="166" formatCode="&quot;R$&quot; #,##0.00;[Red]-&quot;R$&quot; #,##0.00"/>
    <x:numFmt numFmtId="200" formatCode="&quot;R$&quot; #,##0.00"/>
  </x:numFmts>
  <x:fonts count="3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1E35"/>
      <x:name val="Carlito"/>
    </x:font>
    <x:font>
      <x:b/>
      <x:sz val="11"/>
      <x:color rgb="FF506176"/>
      <x:name val="Carlito"/>
    </x:font>
    <x:font>
      <x:b/>
      <x:sz val="19"/>
      <x:color rgb="FF101E35"/>
      <x:name val="Carlito"/>
    </x:font>
    <x:font>
      <x:sz val="11"/>
      <x:color rgb="FF1F2937"/>
      <x:name val="Calibri"/>
    </x:font>
    <x:font>
      <x:b/>
      <x:sz val="20"/>
      <x:color rgb="FFFFFFFF"/>
      <x:name val="Calibri"/>
    </x:font>
    <x:font>
      <x:sz val="10"/>
      <x:color rgb="FFE6FFFB"/>
      <x:name val="Calibri"/>
    </x:font>
    <x:font>
      <x:b/>
      <x:sz val="10"/>
      <x:color rgb="FFFFFFFF"/>
      <x:name val="Calibri"/>
    </x:font>
    <x:font>
      <x:b/>
      <x:sz val="11"/>
      <x:color rgb="FF14532D"/>
      <x:name val="Calibri"/>
    </x:font>
    <x:font>
      <x:sz val="10"/>
      <x:color rgb="FF6B7280"/>
      <x:name val="Calibri"/>
    </x:font>
    <x:font>
      <x:b/>
      <x:sz val="11"/>
      <x:color rgb="FF0F1B33"/>
      <x:name val="Calibri"/>
    </x:font>
    <x:font>
      <x:b/>
      <x:sz val="12"/>
      <x:color rgb="FF0F1B33"/>
      <x:name val="Calibri"/>
    </x:font>
    <x:font>
      <x:b/>
      <x:sz val="10"/>
      <x:color rgb="FFE11D48"/>
      <x:name val="Calibri"/>
    </x:font>
    <x:font>
      <x:b/>
      <x:sz val="10"/>
      <x:color rgb="FF0F766E"/>
      <x:name val="Calibri"/>
    </x:font>
    <x:font>
      <x:b/>
      <x:sz val="10"/>
      <x:color rgb="FFF59E0B"/>
      <x:name val="Calibri"/>
    </x:font>
    <x:font>
      <x:b/>
      <x:sz val="10"/>
      <x:color rgb="FF94A3B8"/>
      <x:name val="Calibri"/>
    </x:font>
    <x:font>
      <x:i/>
      <x:sz val="9.5"/>
      <x:color rgb="FF6B7280"/>
      <x:name val="Calibri"/>
    </x:font>
    <x:font>
      <x:b/>
      <x:sz val="11"/>
      <x:color rgb="FF1F2937"/>
      <x:name val="Calibri"/>
    </x:font>
    <x:font>
      <x:b/>
      <x:sz val="10"/>
      <x:color rgb="FF92400E"/>
      <x:name val="Calibri"/>
    </x:font>
    <x:font>
      <x:b/>
      <x:sz val="9.5"/>
      <x:color rgb="FF6B7280"/>
      <x:name val="Calibri"/>
    </x:font>
    <x:font>
      <x:b/>
      <x:sz val="22"/>
      <x:color rgb="FF0F766E"/>
      <x:name val="Calibri"/>
    </x:font>
    <x:font>
      <x:i/>
      <x:sz val="9"/>
      <x:color rgb="FF6B7280"/>
      <x:name val="Calibri"/>
    </x:font>
    <x:font>
      <x:b/>
      <x:sz val="22"/>
      <x:color rgb="FFE11D48"/>
      <x:name val="Calibri"/>
    </x:font>
    <x:font>
      <x:b/>
      <x:sz val="22"/>
      <x:color rgb="FFB45309"/>
      <x:name val="Calibri"/>
    </x:font>
    <x:font>
      <x:b/>
      <x:sz val="13"/>
      <x:color rgb="FF0F1B33"/>
      <x:name val="Calibri"/>
    </x:font>
    <x:font>
      <x:sz val="9.5"/>
      <x:color rgb="FF6B7280"/>
      <x:name val="Calibri"/>
    </x:font>
    <x:font>
      <x:sz val="11"/>
      <x:color rgb="FFFFFFFF"/>
      <x:name val="Carlito"/>
    </x:font>
    <x:font>
      <x:b/>
      <x:sz val="11"/>
      <x:name val="Carlito"/>
    </x:font>
    <x:font>
      <x:sz val="11"/>
      <x:color rgb="FF17603B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1E35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DDF8F2"/>
      </x:patternFill>
    </x:fill>
    <x:fill>
      <x:patternFill patternType="solid">
        <x:fgColor rgb="FFF4F7FA"/>
      </x:patternFill>
    </x:fill>
    <x:fill>
      <x:patternFill patternType="solid">
        <x:fgColor rgb="FF0F1B33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3F6EC"/>
      </x:patternFill>
    </x:fill>
    <x:fill>
      <x:patternFill patternType="solid">
        <x:fgColor rgb="FFCCEFE9"/>
      </x:patternFill>
    </x:fill>
    <x:fill>
      <x:patternFill patternType="solid">
        <x:fgColor rgb="FFFEF3C7"/>
      </x:patternFill>
    </x:fill>
    <x:fill>
      <x:patternFill patternType="solid">
        <x:fgColor rgb="FF10263F"/>
      </x:patternFill>
    </x:fill>
    <x:fill>
      <x:patternFill patternType="solid">
        <x:fgColor rgb="FF1D4C69"/>
      </x:patternFill>
    </x:fill>
    <x:fill>
      <x:patternFill patternType="solid">
        <x:fgColor rgb="FFD8EDEB"/>
      </x:patternFill>
    </x:fill>
    <x:fill>
      <x:patternFill patternType="solid">
        <x:fgColor rgb="FFD8F1DB"/>
      </x:patternFill>
    </x:fill>
  </x:fills>
  <x:borders count="20">
    <x:border/>
    <x:border/>
    <x:border>
      <x:bottom style="thin">
        <x:color rgb="FFE2E8F0"/>
      </x:bottom>
    </x:border>
    <x:border>
      <x:left style="medium">
        <x:color rgb="FF34D399"/>
      </x:left>
      <x:bottom style="thin">
        <x:color rgb="FFE2E8F0"/>
      </x:bottom>
    </x:border>
    <x:border>
      <x:top style="thin">
        <x:color rgb="FF0F766E"/>
      </x:top>
      <x:bottom style="thin">
        <x:color rgb="FF0F766E"/>
      </x:bottom>
    </x:border>
    <x:border>
      <x:left style="thick">
        <x:color rgb="FFE11D48"/>
      </x:left>
      <x:bottom style="thin">
        <x:color rgb="FFE2E8F0"/>
      </x:bottom>
    </x:border>
    <x:border>
      <x:left style="thick">
        <x:color rgb="FF0F766E"/>
      </x:left>
      <x:bottom style="thin">
        <x:color rgb="FFE2E8F0"/>
      </x:bottom>
    </x:border>
    <x:border>
      <x:left style="thick">
        <x:color rgb="FFF59E0B"/>
      </x:left>
      <x:bottom style="thin">
        <x:color rgb="FFE2E8F0"/>
      </x:bottom>
    </x:border>
    <x:border>
      <x:left style="thick">
        <x:color rgb="FF94A3B8"/>
      </x:left>
      <x:bottom style="thin">
        <x:color rgb="FFE2E8F0"/>
      </x:bottom>
    </x:border>
    <x:border>
      <x:left style="thick">
        <x:color rgb="FF0F766E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ck">
        <x:color rgb="FF0F766E"/>
      </x:left>
    </x:border>
    <x:border>
      <x:right style="thin">
        <x:color rgb="FFE2E8F0"/>
      </x:right>
    </x:border>
    <x:border>
      <x:right style="thin">
        <x:color rgb="FFE2E8F0"/>
      </x:right>
      <x:bottom style="thin">
        <x:color rgb="FFE2E8F0"/>
      </x:bottom>
    </x:border>
    <x:border>
      <x:left style="thick">
        <x:color rgb="FFE11D48"/>
      </x:left>
      <x:top style="thin">
        <x:color rgb="FFE2E8F0"/>
      </x:top>
    </x:border>
    <x:border>
      <x:left style="thick">
        <x:color rgb="FFE11D48"/>
      </x:left>
    </x:border>
    <x:border>
      <x:left style="thick">
        <x:color rgb="FFF59E0B"/>
      </x:left>
      <x:top style="thin">
        <x:color rgb="FFE2E8F0"/>
      </x:top>
    </x:border>
    <x:border>
      <x:left style="thick">
        <x:color rgb="FFF59E0B"/>
      </x:left>
    </x:border>
    <x:border>
      <x:bottom style="medium">
        <x:color rgb="FF0F766E"/>
      </x:bottom>
    </x:border>
  </x:borders>
  <x:cellStyleXfs count="1">
    <x:xf numFmtId="0" fontId="0" fillId="0" borderId="1"/>
  </x:cellStyleXfs>
  <x:cellXfs count="21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1" fillId="3" borderId="0" xfId="0"/>
    <x:xf numFmtId="0" fontId="1" fillId="3" borderId="0" xfId="0" applyAlignment="1">
      <x:alignment vertical="center"/>
    </x:xf>
    <x:xf numFmtId="0" fontId="0" fillId="3" borderId="1" xfId="0"/>
    <x:xf numFmtId="0" fontId="1" fillId="3" borderId="1" xfId="0"/>
    <x:xf numFmtId="0" fontId="1" fillId="3" borderId="1" xfId="0" applyAlignment="1">
      <x:alignment vertical="center"/>
    </x:xf>
    <x:xf numFmtId="0" fontId="0" fillId="4" borderId="0" xfId="0"/>
    <x:xf numFmtId="0" fontId="2" fillId="4" borderId="0" xfId="0"/>
    <x:xf numFmtId="0" fontId="2" fillId="4" borderId="0" xfId="0" applyAlignment="1">
      <x:alignment vertical="center"/>
    </x:xf>
    <x:xf numFmtId="0" fontId="0" fillId="4" borderId="1" xfId="0"/>
    <x:xf numFmtId="0" fontId="2" fillId="4" borderId="1" xfId="0"/>
    <x:xf numFmtId="0" fontId="2" fillId="4" borderId="1" xfId="0" applyAlignment="1">
      <x:alignment vertical="center"/>
    </x:xf>
    <x:xf numFmtId="164" fontId="0" fillId="0" borderId="0" xfId="0"/>
    <x:xf numFmtId="164" fontId="1" fillId="3" borderId="0" xfId="0" applyAlignment="1">
      <x:alignment vertical="center"/>
    </x:xf>
    <x:xf numFmtId="164" fontId="2" fillId="4" borderId="0" xfId="0" applyAlignment="1">
      <x:alignment vertical="center"/>
    </x:xf>
    <x:xf numFmtId="164" fontId="0" fillId="0" borderId="1" xfId="0"/>
    <x:xf numFmtId="164" fontId="1" fillId="3" borderId="1" xfId="0" applyAlignment="1">
      <x:alignment vertical="center"/>
    </x:xf>
    <x:xf numFmtId="164" fontId="2" fillId="4" borderId="1" xfId="0" applyAlignment="1">
      <x:alignment vertical="center"/>
    </x:xf>
    <x:xf numFmtId="165" fontId="0" fillId="0" borderId="0" xfId="0"/>
    <x:xf numFmtId="165" fontId="1" fillId="3" borderId="0" xfId="0" applyAlignment="1">
      <x:alignment vertical="center"/>
    </x:xf>
    <x:xf numFmtId="165" fontId="2" fillId="4" borderId="0" xfId="0" applyAlignment="1">
      <x:alignment vertical="center"/>
    </x:xf>
    <x:xf numFmtId="165" fontId="0" fillId="0" borderId="1" xfId="0"/>
    <x:xf numFmtId="165" fontId="1" fillId="3" borderId="1" xfId="0" applyAlignment="1">
      <x:alignment vertical="center"/>
    </x:xf>
    <x:xf numFmtId="165" fontId="2" fillId="4" borderId="1" xfId="0" applyAlignment="1">
      <x:alignment vertical="center"/>
    </x:xf>
    <x:xf numFmtId="164" fontId="0" fillId="5" borderId="0" xfId="0"/>
    <x:xf numFmtId="164" fontId="0" fillId="5" borderId="1" xfId="0"/>
    <x:xf numFmtId="0" fontId="0" fillId="5" borderId="0" xfId="0"/>
    <x:xf numFmtId="0" fontId="0" fillId="5" borderId="1" xfId="0"/>
    <x:xf numFmtId="0" fontId="3" fillId="4" borderId="0" xfId="0"/>
    <x:xf numFmtId="0" fontId="3" fillId="4" borderId="0" xfId="0" applyAlignment="1">
      <x:alignment vertical="center"/>
    </x:xf>
    <x:xf numFmtId="0" fontId="3" fillId="4" borderId="1" xfId="0"/>
    <x:xf numFmtId="0" fontId="3" fillId="4" borderId="1" xfId="0" applyAlignment="1">
      <x:alignment vertical="center"/>
    </x:xf>
    <x:xf numFmtId="0" fontId="4" fillId="4" borderId="0" xfId="0"/>
    <x:xf numFmtId="0" fontId="4" fillId="4" borderId="0" xfId="0" applyAlignment="1">
      <x:alignment vertical="center"/>
    </x:xf>
    <x:xf numFmtId="0" fontId="4" fillId="4" borderId="1" xfId="0"/>
    <x:xf numFmtId="0" fontId="4" fillId="4" borderId="1" xfId="0" applyAlignment="1">
      <x:alignment vertical="center"/>
    </x:xf>
    <x:xf numFmtId="164" fontId="4" fillId="4" borderId="0" xfId="0" applyAlignment="1">
      <x:alignment vertical="center"/>
    </x:xf>
    <x:xf numFmtId="164" fontId="4" fillId="4" borderId="1" xfId="0" applyAlignment="1">
      <x:alignment vertical="center"/>
    </x:xf>
    <x:xf numFmtId="165" fontId="4" fillId="4" borderId="0" xfId="0" applyAlignment="1">
      <x:alignment vertical="center"/>
    </x:xf>
    <x:xf numFmtId="165" fontId="4" fillId="4" borderId="1" xfId="0" applyAlignment="1">
      <x:alignment vertical="center"/>
    </x:xf>
    <x:xf numFmtId="0" fontId="6" fillId="7" borderId="1" xfId="0" applyAlignment="1">
      <x:alignment horizontal="left" vertical="center"/>
    </x:xf>
    <x:xf numFmtId="0" fontId="0" fillId="7" borderId="1" xfId="0"/>
    <x:xf numFmtId="0" fontId="7" fillId="8" borderId="1" xfId="0" applyAlignment="1">
      <x:alignment vertical="center"/>
    </x:xf>
    <x:xf numFmtId="0" fontId="0" fillId="8" borderId="1" xfId="0"/>
    <x:xf numFmtId="0" fontId="5" fillId="6" borderId="1" xfId="0" applyAlignment="1">
      <x:alignment vertical="center"/>
    </x:xf>
    <x:xf numFmtId="164" fontId="5" fillId="6" borderId="1" xfId="0" applyAlignment="1">
      <x:alignment vertical="center"/>
    </x:xf>
    <x:xf numFmtId="165" fontId="5" fillId="6" borderId="1" xfId="0" applyAlignment="1">
      <x:alignment vertical="center"/>
    </x:xf>
    <x:xf numFmtId="0" fontId="20" fillId="9" borderId="9" xfId="0" applyAlignment="1">
      <x:alignment vertical="center"/>
    </x:xf>
    <x:xf numFmtId="0" fontId="0" fillId="9" borderId="10" xfId="0"/>
    <x:xf numFmtId="0" fontId="0" fillId="9" borderId="11" xfId="0"/>
    <x:xf numFmtId="0" fontId="20" fillId="9" borderId="15" xfId="0" applyAlignment="1">
      <x:alignment vertical="center"/>
    </x:xf>
    <x:xf numFmtId="0" fontId="20" fillId="9" borderId="17" xfId="0" applyAlignment="1">
      <x:alignment vertical="center"/>
    </x:xf>
    <x:xf numFmtId="166" fontId="21" fillId="9" borderId="12" xfId="0" applyAlignment="1">
      <x:alignment horizontal="left" vertical="center"/>
    </x:xf>
    <x:xf numFmtId="0" fontId="0" fillId="9" borderId="1" xfId="0"/>
    <x:xf numFmtId="0" fontId="0" fillId="9" borderId="13" xfId="0"/>
    <x:xf numFmtId="165" fontId="23" fillId="9" borderId="16" xfId="0" applyAlignment="1">
      <x:alignment horizontal="left" vertical="center"/>
    </x:xf>
    <x:xf numFmtId="166" fontId="24" fillId="9" borderId="18" xfId="0" applyAlignment="1">
      <x:alignment horizontal="left" vertical="center"/>
    </x:xf>
    <x:xf numFmtId="0" fontId="0" fillId="9" borderId="12" xfId="0"/>
    <x:xf numFmtId="0" fontId="0" fillId="9" borderId="16" xfId="0"/>
    <x:xf numFmtId="0" fontId="0" fillId="9" borderId="18" xfId="0"/>
    <x:xf numFmtId="0" fontId="22" fillId="9" borderId="6" xfId="0" applyAlignment="1">
      <x:alignment vertical="center"/>
    </x:xf>
    <x:xf numFmtId="0" fontId="0" fillId="9" borderId="2" xfId="0"/>
    <x:xf numFmtId="0" fontId="0" fillId="9" borderId="14" xfId="0"/>
    <x:xf numFmtId="0" fontId="22" fillId="9" borderId="5" xfId="0" applyAlignment="1">
      <x:alignment vertical="center"/>
    </x:xf>
    <x:xf numFmtId="0" fontId="22" fillId="9" borderId="7" xfId="0" applyAlignment="1">
      <x:alignment vertical="center"/>
    </x:xf>
    <x:xf numFmtId="0" fontId="25" fillId="6" borderId="19" xfId="0" applyAlignment="1">
      <x:alignment vertical="center"/>
    </x:xf>
    <x:xf numFmtId="0" fontId="5" fillId="6" borderId="19" xfId="0" applyAlignment="1">
      <x:alignment vertical="center"/>
    </x:xf>
    <x:xf numFmtId="0" fontId="20" fillId="6" borderId="2" xfId="0" applyAlignment="1">
      <x:alignment vertical="center"/>
    </x:xf>
    <x:xf numFmtId="0" fontId="5" fillId="6" borderId="2" xfId="0" applyAlignment="1">
      <x:alignment vertical="center"/>
    </x:xf>
    <x:xf numFmtId="0" fontId="26" fillId="6" borderId="1" xfId="0" applyAlignment="1">
      <x:alignment vertical="center"/>
    </x:xf>
    <x:xf numFmtId="166" fontId="26" fillId="6" borderId="1" xfId="0" applyAlignment="1">
      <x:alignment horizontal="right"/>
    </x:xf>
    <x:xf numFmtId="0" fontId="17" fillId="6" borderId="1" xfId="0" applyAlignment="1">
      <x:alignment vertical="center"/>
    </x:xf>
    <x:xf numFmtId="0" fontId="8" fillId="8" borderId="1" xfId="0" applyAlignment="1">
      <x:alignment horizontal="left" vertical="center"/>
    </x:xf>
    <x:xf numFmtId="0" fontId="8" fillId="8" borderId="1" xfId="0" applyAlignment="1">
      <x:alignment horizontal="center" vertical="center"/>
    </x:xf>
    <x:xf numFmtId="0" fontId="5" fillId="9" borderId="2" xfId="0" applyAlignment="1">
      <x:alignment horizontal="left" vertical="center"/>
    </x:xf>
    <x:xf numFmtId="166" fontId="9" fillId="11" borderId="3" xfId="0" applyAlignment="1">
      <x:alignment horizontal="right" vertical="center"/>
    </x:xf>
    <x:xf numFmtId="165" fontId="5" fillId="9" borderId="2" xfId="0" applyAlignment="1">
      <x:alignment horizontal="center" vertical="center"/>
    </x:xf>
    <x:xf numFmtId="0" fontId="10" fillId="9" borderId="2" xfId="0" applyAlignment="1">
      <x:alignment horizontal="left" vertical="center"/>
    </x:xf>
    <x:xf numFmtId="0" fontId="5" fillId="10" borderId="2" xfId="0" applyAlignment="1">
      <x:alignment horizontal="left" vertical="center"/>
    </x:xf>
    <x:xf numFmtId="165" fontId="5" fillId="10" borderId="2" xfId="0" applyAlignment="1">
      <x:alignment horizontal="center" vertical="center"/>
    </x:xf>
    <x:xf numFmtId="0" fontId="10" fillId="10" borderId="2" xfId="0" applyAlignment="1">
      <x:alignment horizontal="left" vertical="center"/>
    </x:xf>
    <x:xf numFmtId="164" fontId="8" fillId="8" borderId="1" xfId="0" applyAlignment="1">
      <x:alignment horizontal="center" vertical="center"/>
    </x:xf>
    <x:xf numFmtId="165" fontId="8" fillId="8" borderId="1" xfId="0" applyAlignment="1">
      <x:alignment horizontal="center" vertical="center"/>
    </x:xf>
    <x:xf numFmtId="0" fontId="11" fillId="12" borderId="4" xfId="0" applyAlignment="1">
      <x:alignment horizontal="left" vertical="center"/>
    </x:xf>
    <x:xf numFmtId="166" fontId="11" fillId="12" borderId="4" xfId="0" applyAlignment="1">
      <x:alignment horizontal="right" vertical="center"/>
    </x:xf>
    <x:xf numFmtId="165" fontId="11" fillId="12" borderId="4" xfId="0" applyAlignment="1">
      <x:alignment horizontal="right" vertical="center"/>
    </x:xf>
    <x:xf numFmtId="166" fontId="12" fillId="12" borderId="4" xfId="0" applyAlignment="1">
      <x:alignment horizontal="right" vertical="center"/>
    </x:xf>
    <x:xf numFmtId="0" fontId="5" fillId="9" borderId="5" xfId="0" applyAlignment="1">
      <x:alignment horizontal="left" vertical="center"/>
    </x:xf>
    <x:xf numFmtId="166" fontId="5" fillId="9" borderId="2" xfId="0" applyAlignment="1">
      <x:alignment horizontal="right" vertical="center"/>
    </x:xf>
    <x:xf numFmtId="0" fontId="13" fillId="9" borderId="2" xfId="0" applyAlignment="1">
      <x:alignment horizontal="left" vertical="center"/>
    </x:xf>
    <x:xf numFmtId="0" fontId="5" fillId="10" borderId="6" xfId="0" applyAlignment="1">
      <x:alignment horizontal="left" vertical="center"/>
    </x:xf>
    <x:xf numFmtId="166" fontId="5" fillId="10" borderId="2" xfId="0" applyAlignment="1">
      <x:alignment horizontal="right" vertical="center"/>
    </x:xf>
    <x:xf numFmtId="0" fontId="14" fillId="10" borderId="2" xfId="0" applyAlignment="1">
      <x:alignment horizontal="left" vertical="center"/>
    </x:xf>
    <x:xf numFmtId="0" fontId="5" fillId="9" borderId="7" xfId="0" applyAlignment="1">
      <x:alignment horizontal="left" vertical="center"/>
    </x:xf>
    <x:xf numFmtId="0" fontId="15" fillId="9" borderId="2" xfId="0" applyAlignment="1">
      <x:alignment horizontal="left" vertical="center"/>
    </x:xf>
    <x:xf numFmtId="0" fontId="5" fillId="10" borderId="8" xfId="0" applyAlignment="1">
      <x:alignment horizontal="left" vertical="center"/>
    </x:xf>
    <x:xf numFmtId="0" fontId="16" fillId="10" borderId="2" xfId="0" applyAlignment="1">
      <x:alignment horizontal="left" vertical="center"/>
    </x:xf>
    <x:xf numFmtId="0" fontId="17" fillId="6" borderId="1" xfId="0" applyAlignment="1">
      <x:alignment vertical="center" wrapText="1"/>
    </x:xf>
    <x:xf numFmtId="166" fontId="9" fillId="11" borderId="3" xfId="0" applyAlignment="1">
      <x:alignment horizontal="right" vertical="center"/>
    </x:xf>
    <x:xf numFmtId="0" fontId="5" fillId="9" borderId="2" xfId="0" applyAlignment="1">
      <x:alignment horizontal="right" vertical="center"/>
    </x:xf>
    <x:xf numFmtId="0" fontId="5" fillId="10" borderId="2" xfId="0" applyAlignment="1">
      <x:alignment horizontal="right" vertical="center"/>
    </x:xf>
    <x:xf numFmtId="166" fontId="5" fillId="9" borderId="2" xfId="0" applyAlignment="1">
      <x:alignment horizontal="right" vertical="center"/>
    </x:xf>
    <x:xf numFmtId="165" fontId="5" fillId="10" borderId="2" xfId="0" applyAlignment="1">
      <x:alignment horizontal="right" vertical="center"/>
    </x:xf>
    <x:xf numFmtId="166" fontId="18" fillId="9" borderId="2" xfId="0" applyAlignment="1">
      <x:alignment horizontal="center" vertical="center"/>
    </x:xf>
    <x:xf numFmtId="0" fontId="19" fillId="13" borderId="1" xfId="0" applyAlignment="1">
      <x:alignment vertical="center"/>
    </x:xf>
    <x:xf numFmtId="0" fontId="0" fillId="13" borderId="1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/>
    <x:xf numFmtId="164" fontId="1" fillId="3" borderId="0" xfId="0" applyNumberFormat="1" applyFont="1" applyFill="1" applyBorder="1" applyAlignment="1">
      <x:alignment vertical="center"/>
    </x:xf>
    <x:xf numFmtId="164" fontId="2" fillId="4" borderId="0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/>
    <x:xf numFmtId="165" fontId="1" fillId="3" borderId="0" xfId="0" applyNumberFormat="1" applyFont="1" applyFill="1" applyBorder="1" applyAlignment="1">
      <x:alignment vertical="center"/>
    </x:xf>
    <x:xf numFmtId="165" fontId="2" fillId="4" borderId="0" xfId="0" applyNumberFormat="1" applyFont="1" applyFill="1" applyBorder="1" applyAlignment="1">
      <x:alignment vertical="center"/>
    </x:xf>
    <x:xf numFmtId="164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164" fontId="4" fillId="4" borderId="0" xfId="0" applyNumberFormat="1" applyFont="1" applyFill="1" applyBorder="1" applyAlignment="1">
      <x:alignment vertical="center"/>
    </x:xf>
    <x:xf numFmtId="165" fontId="4" fillId="4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164" fontId="5" fillId="6" borderId="0" xfId="0" applyNumberFormat="1" applyFont="1" applyFill="1" applyBorder="1" applyAlignment="1">
      <x:alignment vertical="center"/>
    </x:xf>
    <x:xf numFmtId="165" fontId="5" fillId="6" borderId="0" xfId="0" applyNumberFormat="1" applyFont="1" applyFill="1" applyBorder="1" applyAlignment="1">
      <x:alignment vertical="center"/>
    </x:xf>
    <x:xf numFmtId="0" fontId="20" fillId="9" borderId="9" xfId="0" applyNumberFormat="1" applyFont="1" applyFill="1" applyBorder="1" applyAlignment="1">
      <x:alignment vertical="center"/>
    </x:xf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20" fillId="9" borderId="15" xfId="0" applyNumberFormat="1" applyFont="1" applyFill="1" applyBorder="1" applyAlignment="1">
      <x:alignment vertical="center"/>
    </x:xf>
    <x:xf numFmtId="0" fontId="20" fillId="9" borderId="17" xfId="0" applyNumberFormat="1" applyFont="1" applyFill="1" applyBorder="1" applyAlignment="1">
      <x:alignment vertical="center"/>
    </x:xf>
    <x:xf numFmtId="166" fontId="21" fillId="9" borderId="12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0" fillId="9" borderId="13" xfId="0" applyNumberFormat="1" applyFont="1" applyFill="1" applyBorder="1"/>
    <x:xf numFmtId="165" fontId="23" fillId="9" borderId="16" xfId="0" applyNumberFormat="1" applyFont="1" applyFill="1" applyBorder="1" applyAlignment="1">
      <x:alignment horizontal="left" vertical="center"/>
    </x:xf>
    <x:xf numFmtId="166" fontId="24" fillId="9" borderId="18" xfId="0" applyNumberFormat="1" applyFont="1" applyFill="1" applyBorder="1" applyAlignment="1">
      <x:alignment horizontal="left" vertical="center"/>
    </x:xf>
    <x:xf numFmtId="0" fontId="0" fillId="9" borderId="12" xfId="0" applyNumberFormat="1" applyFont="1" applyFill="1" applyBorder="1"/>
    <x:xf numFmtId="0" fontId="0" fillId="9" borderId="16" xfId="0" applyNumberFormat="1" applyFont="1" applyFill="1" applyBorder="1"/>
    <x:xf numFmtId="0" fontId="0" fillId="9" borderId="18" xfId="0" applyNumberFormat="1" applyFont="1" applyFill="1" applyBorder="1"/>
    <x:xf numFmtId="0" fontId="22" fillId="9" borderId="6" xfId="0" applyNumberFormat="1" applyFont="1" applyFill="1" applyBorder="1" applyAlignment="1">
      <x:alignment vertical="center"/>
    </x:xf>
    <x:xf numFmtId="0" fontId="0" fillId="9" borderId="2" xfId="0" applyNumberFormat="1" applyFont="1" applyFill="1" applyBorder="1"/>
    <x:xf numFmtId="0" fontId="0" fillId="9" borderId="14" xfId="0" applyNumberFormat="1" applyFont="1" applyFill="1" applyBorder="1"/>
    <x:xf numFmtId="0" fontId="22" fillId="9" borderId="5" xfId="0" applyNumberFormat="1" applyFont="1" applyFill="1" applyBorder="1" applyAlignment="1">
      <x:alignment vertical="center"/>
    </x:xf>
    <x:xf numFmtId="0" fontId="22" fillId="9" borderId="7" xfId="0" applyNumberFormat="1" applyFont="1" applyFill="1" applyBorder="1" applyAlignment="1">
      <x:alignment vertical="center"/>
    </x:xf>
    <x:xf numFmtId="0" fontId="25" fillId="6" borderId="19" xfId="0" applyNumberFormat="1" applyFont="1" applyFill="1" applyBorder="1" applyAlignment="1">
      <x:alignment vertical="center"/>
    </x:xf>
    <x:xf numFmtId="0" fontId="5" fillId="6" borderId="19" xfId="0" applyNumberFormat="1" applyFont="1" applyFill="1" applyBorder="1" applyAlignment="1">
      <x:alignment vertical="center"/>
    </x:xf>
    <x:xf numFmtId="0" fontId="20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26" fillId="6" borderId="0" xfId="0" applyNumberFormat="1" applyFont="1" applyFill="1" applyBorder="1" applyAlignment="1">
      <x:alignment vertical="center"/>
    </x:xf>
    <x:xf numFmtId="166" fontId="26" fillId="6" borderId="0" xfId="0" applyNumberFormat="1" applyFont="1" applyFill="1" applyBorder="1" applyAlignment="1">
      <x:alignment horizontal="right"/>
    </x:xf>
    <x:xf numFmtId="0" fontId="17" fillId="6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5" fillId="9" borderId="2" xfId="0" applyNumberFormat="1" applyFont="1" applyFill="1" applyBorder="1" applyAlignment="1">
      <x:alignment horizontal="left" vertical="center"/>
    </x:xf>
    <x:xf numFmtId="166" fontId="9" fillId="11" borderId="3" xfId="0" applyNumberFormat="1" applyFont="1" applyFill="1" applyBorder="1" applyAlignment="1">
      <x:alignment horizontal="right" vertical="center"/>
    </x:xf>
    <x:xf numFmtId="165" fontId="5" fillId="9" borderId="2" xfId="0" applyNumberFormat="1" applyFont="1" applyFill="1" applyBorder="1" applyAlignment="1">
      <x:alignment horizontal="center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5" fillId="10" borderId="2" xfId="0" applyNumberFormat="1" applyFont="1" applyFill="1" applyBorder="1" applyAlignment="1">
      <x:alignment horizontal="left" vertical="center"/>
    </x:xf>
    <x:xf numFmtId="165" fontId="5" fillId="10" borderId="2" xfId="0" applyNumberFormat="1" applyFont="1" applyFill="1" applyBorder="1" applyAlignment="1">
      <x:alignment horizontal="center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4" fontId="8" fillId="3" borderId="0" xfId="0" applyNumberFormat="1" applyFont="1" applyFill="1" applyBorder="1" applyAlignment="1">
      <x:alignment horizontal="center" vertical="center"/>
    </x:xf>
    <x:xf numFmtId="165" fontId="8" fillId="3" borderId="0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left" vertical="center"/>
    </x:xf>
    <x:xf numFmtId="166" fontId="11" fillId="12" borderId="4" xfId="0" applyNumberFormat="1" applyFont="1" applyFill="1" applyBorder="1" applyAlignment="1">
      <x:alignment horizontal="right" vertical="center"/>
    </x:xf>
    <x:xf numFmtId="165" fontId="11" fillId="12" borderId="4" xfId="0" applyNumberFormat="1" applyFont="1" applyFill="1" applyBorder="1" applyAlignment="1">
      <x:alignment horizontal="right" vertical="center"/>
    </x:xf>
    <x:xf numFmtId="166" fontId="12" fillId="12" borderId="4" xfId="0" applyNumberFormat="1" applyFont="1" applyFill="1" applyBorder="1" applyAlignment="1">
      <x:alignment horizontal="right" vertical="center"/>
    </x:xf>
    <x:xf numFmtId="0" fontId="5" fillId="9" borderId="5" xfId="0" applyNumberFormat="1" applyFont="1" applyFill="1" applyBorder="1" applyAlignment="1">
      <x:alignment horizontal="left" vertical="center"/>
    </x:xf>
    <x:xf numFmtId="166" fontId="5" fillId="9" borderId="2" xfId="0" applyNumberFormat="1" applyFont="1" applyFill="1" applyBorder="1" applyAlignment="1">
      <x:alignment horizontal="right" vertical="center"/>
    </x:xf>
    <x:xf numFmtId="0" fontId="13" fillId="9" borderId="2" xfId="0" applyNumberFormat="1" applyFont="1" applyFill="1" applyBorder="1" applyAlignment="1">
      <x:alignment horizontal="left" vertical="center"/>
    </x:xf>
    <x:xf numFmtId="0" fontId="5" fillId="10" borderId="6" xfId="0" applyNumberFormat="1" applyFont="1" applyFill="1" applyBorder="1" applyAlignment="1">
      <x:alignment horizontal="left" vertical="center"/>
    </x:xf>
    <x:xf numFmtId="166" fontId="5" fillId="10" borderId="2" xfId="0" applyNumberFormat="1" applyFont="1" applyFill="1" applyBorder="1" applyAlignment="1">
      <x:alignment horizontal="right" vertical="center"/>
    </x:xf>
    <x:xf numFmtId="0" fontId="14" fillId="10" borderId="2" xfId="0" applyNumberFormat="1" applyFont="1" applyFill="1" applyBorder="1" applyAlignment="1">
      <x:alignment horizontal="left" vertical="center"/>
    </x:xf>
    <x:xf numFmtId="0" fontId="5" fillId="9" borderId="7" xfId="0" applyNumberFormat="1" applyFont="1" applyFill="1" applyBorder="1" applyAlignment="1">
      <x:alignment horizontal="left" vertical="center"/>
    </x:xf>
    <x:xf numFmtId="0" fontId="15" fillId="9" borderId="2" xfId="0" applyNumberFormat="1" applyFont="1" applyFill="1" applyBorder="1" applyAlignment="1">
      <x:alignment horizontal="left" vertical="center"/>
    </x:xf>
    <x:xf numFmtId="0" fontId="5" fillId="10" borderId="8" xfId="0" applyNumberFormat="1" applyFont="1" applyFill="1" applyBorder="1" applyAlignment="1">
      <x:alignment horizontal="left" vertical="center"/>
    </x:xf>
    <x:xf numFmtId="0" fontId="16" fillId="10" borderId="2" xfId="0" applyNumberFormat="1" applyFont="1" applyFill="1" applyBorder="1" applyAlignment="1">
      <x:alignment horizontal="left" vertical="center"/>
    </x:xf>
    <x:xf numFmtId="0" fontId="17" fillId="6" borderId="0" xfId="0" applyNumberFormat="1" applyFont="1" applyFill="1" applyBorder="1" applyAlignment="1">
      <x:alignment vertical="center" wrapText="1"/>
    </x:xf>
    <x:xf numFmtId="0" fontId="5" fillId="9" borderId="2" xfId="0" applyNumberFormat="1" applyFont="1" applyFill="1" applyBorder="1" applyAlignment="1">
      <x:alignment horizontal="right" vertical="center"/>
    </x:xf>
    <x:xf numFmtId="0" fontId="5" fillId="10" borderId="2" xfId="0" applyNumberFormat="1" applyFont="1" applyFill="1" applyBorder="1" applyAlignment="1">
      <x:alignment horizontal="right" vertical="center"/>
    </x:xf>
    <x:xf numFmtId="165" fontId="5" fillId="10" borderId="2" xfId="0" applyNumberFormat="1" applyFont="1" applyFill="1" applyBorder="1" applyAlignment="1">
      <x:alignment horizontal="right" vertical="center"/>
    </x:xf>
    <x:xf numFmtId="166" fontId="18" fillId="9" borderId="2" xfId="0" applyNumberFormat="1" applyFont="1" applyFill="1" applyBorder="1" applyAlignment="1">
      <x:alignment horizontal="center" vertical="center"/>
    </x:xf>
    <x:xf numFmtId="0" fontId="19" fillId="13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7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28" fillId="16" borderId="0" xfId="0" applyNumberFormat="1" applyFont="1" applyFill="1" applyBorder="1"/>
    <x:xf numFmtId="0" fontId="0" fillId="17" borderId="0" xfId="0" applyNumberFormat="1" applyFont="1" applyFill="1" applyBorder="1"/>
    <x:xf numFmtId="0" fontId="29" fillId="17" borderId="0" xfId="0" applyNumberFormat="1" applyFont="1" applyFill="1" applyBorder="1"/>
    <x:xf numFmtId="200" fontId="0" fillId="0" borderId="0" xfId="0" applyNumberFormat="1" applyFont="1" applyFill="1" applyBorder="1"/>
    <x:xf numFmtId="200" fontId="29" fillId="17" borderId="0" xfId="0" applyNumberFormat="1" applyFont="1" applyFill="1" applyBorder="1"/>
    <x:xf numFmtId="200" fontId="28" fillId="16" borderId="0" xfId="0" applyNumberFormat="1" applyFont="1" applyFill="1" applyBorder="1"/>
    <x:xf numFmtId="165" fontId="28" fillId="16" borderId="0" xfId="0" applyNumberFormat="1" applyFont="1" applyFill="1" applyBorder="1"/>
  </x:cellXfs>
  <x:cellStyles count="1">
    <x:cellStyle name="Normal" xfId="0"/>
  </x:cellStyles>
  <x:dxfs count="6">
    <x:dxf>
      <x:font>
        <x:b/>
        <x:sz val="22"/>
        <x:color rgb="00B91C1C"/>
        <x:name val="Calibri"/>
      </x:font>
    </x:dxf>
    <x:dxf>
      <x:font>
        <x:b/>
        <x:color rgb="00B91C1C"/>
        <x:name val="Calibri"/>
      </x:font>
      <x:fill>
        <x:patternFill>
          <x:bgColor rgb="00FEE2E2"/>
        </x:patternFill>
      </x:fill>
    </x:dxf>
    <x:dxf>
      <x:font>
        <x:b/>
        <x:color rgb="00166534"/>
        <x:name val="Calibri"/>
      </x:font>
      <x:fill>
        <x:patternFill>
          <x:bgColor rgb="00DCFCE7"/>
        </x:patternFill>
      </x:fill>
    </x:dxf>
    <x:dxf>
      <x:font>
        <x:b/>
        <x:color rgb="0092400E"/>
        <x:name val="Calibri"/>
      </x:font>
      <x:fill>
        <x:patternFill>
          <x:bgColor rgb="00FEF3C7"/>
        </x:patternFill>
      </x:fill>
    </x:dxf>
    <x:dxf>
      <x:font>
        <x:b/>
        <x:color rgb="00B91C1C"/>
        <x:name val="Calibri"/>
      </x:font>
    </x:dxf>
    <x:dxf>
      <x:font>
        <x:b/>
        <x:color rgb="00166534"/>
        <x:name val="Calibri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3dcd5eb0c445c" /><Relationship Type="http://schemas.openxmlformats.org/officeDocument/2006/relationships/theme" Target="/xl/theme/theme1.xml" Id="R79f4e8ea82644edf" /><Relationship Type="http://schemas.openxmlformats.org/officeDocument/2006/relationships/sharedStrings" Target="/xl/sharedStrings.xml" Id="Re96bcedce38d429e" /><Relationship Type="http://schemas.openxmlformats.org/officeDocument/2006/relationships/worksheet" Target="/xl/worksheets/sheet1.xml" Id="R398b39b944d94b9c" /><Relationship Type="http://schemas.openxmlformats.org/officeDocument/2006/relationships/worksheet" Target="/xl/worksheets/sheet2.xml" Id="R3f50ae68d06849cc" /><Relationship Type="http://schemas.openxmlformats.org/officeDocument/2006/relationships/worksheet" Target="/xl/worksheets/sheet3.xml" Id="R26e24f7eb21242ad" /><Relationship Type="http://schemas.openxmlformats.org/officeDocument/2006/relationships/worksheet" Target="/xl/worksheets/sheet4.xml" Id="R771c6454c1cb4d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7b65a62e6f49f0" /><Relationship Type="http://schemas.openxmlformats.org/officeDocument/2006/relationships/chart" Target="/xl/drawings/charts/chart2.xml" Id="R3b204061fb3042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ec8b8918f104ee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9e8a8607e324616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do salário</a:t>
            </a:r>
          </a:p>
        </c:rich>
      </c:tx>
    </c:title>
    <c:plotArea>
      <c:doughnutChart>
        <c:ser>
          <c:idx val="0"/>
          <c:order val="0"/>
          <c:spPr>
            <a:ln xmlns:a="http://schemas.openxmlformats.org/drawingml/2006/main">
              <a:prstDash val="solid"/>
            </a:ln>
          </c:spPr>
          <c:dPt>
            <c:idx val="0"/>
            <c:spPr>
              <a:solidFill xmlns:a="http://schemas.openxmlformats.org/drawingml/2006/main">
                <a:srgbClr val="E11D4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0F766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c:spPr>
          </c:dPt>
          <c:dPt>
            <c:idx val="2"/>
            <c:spPr>
              <a:solidFill xmlns:a="http://schemas.openxmlformats.org/drawingml/2006/main">
                <a:srgbClr val="F59E0B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c:spPr>
          </c:dPt>
          <c:dPt>
            <c:idx val="3"/>
            <c:spPr>
              <a:solidFill xmlns:a="http://schemas.openxmlformats.org/drawingml/2006/main">
                <a:srgbClr val="94A3B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</c:dLbls>
          <c:cat>
            <c:strRef>
              <c:f>'Dashboard'!$A$34:$A$37</c:f>
              <c:strCache>
                <c:ptCount val="0"/>
              </c:strCache>
            </c:strRef>
          </c:cat>
          <c:val>
            <c:numRef>
              <c:f>'Dashboard'!$B$34:$B$37</c:f>
              <c:numCache>
                <c:formatCode>General</c:formatCode>
                <c:ptCount val="0"/>
              </c:numCache>
            </c:numRef>
          </c:val>
        </c:ser>
        <c:firstSliceAng val="0"/>
        <c:holeSize val="62"/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1F2937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Gastos por categoria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spPr>
            <a:solidFill xmlns:a="http://schemas.openxmlformats.org/drawingml/2006/main">
              <a:srgbClr val="E11D48"/>
            </a:solidFill>
            <a:ln xmlns:a="http://schemas.openxmlformats.org/drawingml/2006/main">
              <a:noFill/>
              <a:prstDash val="solid"/>
            </a:ln>
          </c:spPr>
          <c:dLbls>
            <c:numFmt formatCode="&quot;R$&quot; #,##0"/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7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</c:dLbls>
          <c:cat>
            <c:strRef>
              <c:f>'Dashboard'!$D$34:$D$39</c:f>
              <c:strCache>
                <c:ptCount val="0"/>
              </c:strCache>
            </c:strRef>
          </c:cat>
          <c:val>
            <c:numRef>
              <c:f>'Dashboard'!$E$34:$E$39</c:f>
              <c:numCache>
                <c:formatCode>General</c:formatCode>
                <c:ptCount val="0"/>
              </c:numCache>
            </c:numRef>
          </c:val>
        </c:ser>
        <c:gapWidth val="4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/>
        <c:majorTickMark val="none"/>
        <c:minorTickMark val="none"/>
        <c:spPr>
          <a:ln xmlns:a="http://schemas.openxmlformats.org/drawingml/2006/main">
            <a:solidFill>
              <a:srgbClr val="E2E8F0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50" b="0">
                <a:solidFill>
                  <a:srgbClr val="1F2937"/>
                </a:solidFill>
                <a:latin typeface="Calibri"/>
                <a:ea typeface="Calibri"/>
                <a:cs typeface="Calibri"/>
              </a:defRPr>
            </a:pPr>
          </a:p>
        </c:txPr>
        <c:crossAx val="100"/>
        <c:lblOffset val="100"/>
      </c:catAx>
      <c:valAx>
        <c:axId val="100"/>
        <c:scaling>
          <c:orientation val="minMax"/>
        </c:scaling>
        <c:delete val="1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prevista até dezembro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34000">
              <a:solidFill>
                <a:srgbClr val="0F766E"/>
              </a:solidFill>
              <a:prstDash val="solid"/>
            </a:ln>
          </c:spPr>
          <c:marker>
            <c:symbol val="circle"/>
            <c:size val="9"/>
            <c:spPr>
              <a:solidFill xmlns:a="http://schemas.openxmlformats.org/drawingml/2006/main">
                <a:srgbClr val="0F766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c:spPr>
          </c:marker>
          <c:dLbls>
            <c:numFmt formatCode="&quot;R$&quot; #,##0"/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0F1B33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</c:dLbls>
          <c:cat>
            <c:strRef>
              <c:f>'Meta 2026'!$A$14:$A$16</c:f>
              <c:strCache>
                <c:ptCount val="0"/>
              </c:strCache>
            </c:strRef>
          </c:cat>
          <c:val>
            <c:numRef>
              <c:f>'Meta 2026'!$B$14:$B$16</c:f>
              <c:numCache>
                <c:formatCode>"R$" #,##0</c:formatCode>
                <c:ptCount val="0"/>
              </c:numCache>
            </c:numRef>
          </c:val>
          <c:smooth val="0"/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</a:p>
        </c:txPr>
        <c:crossAx val="100"/>
        <c:lblOffset val="100"/>
      </c:catAx>
      <c:valAx>
        <c:axId val="100"/>
        <c:scaling>
          <c:orientation val="minMax"/>
          <c:min val="4000"/>
        </c:scaling>
        <c:delete val="0"/>
        <c:axPos val="l"/>
        <c:majorGridlines>
          <c:spPr>
            <a:ln xmlns:a="http://schemas.openxmlformats.org/drawingml/2006/main">
              <a:solidFill>
                <a:srgbClr val="E2E8F0"/>
              </a:solidFill>
              <a:prstDash val="solid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</a:p>
        </c:txPr>
        <c:crossAx val="10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>
      <a:solidFill>
        <a:srgbClr val="E2E8F0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do patrimônio guardado em 2027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RESERVA ACUMULADA</c:v>
          </c:tx>
          <c:marker>
            <c:symbol val="none"/>
          </c:marker>
          <c:cat>
            <c:strRef>
              <c:f>'Projeção 2027'!$G$16:$G$27</c:f>
              <c:strCache>
                <c:ptCount val="0"/>
              </c:strCache>
            </c:strRef>
          </c:cat>
          <c:val>
            <c:numRef>
              <c:f>'Projeção 2027'!$H$16:$H$27</c:f>
              <c:numCache>
                <c:formatCode>"R$" 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GUARDADO</c:v>
          </c:tx>
          <c:marker>
            <c:symbol val="none"/>
          </c:marker>
          <c:cat>
            <c:strRef>
              <c:f>'Projeção 2027'!$G$16:$G$27</c:f>
              <c:strCache>
                <c:ptCount val="0"/>
              </c:strCache>
            </c:strRef>
          </c:cat>
          <c:val>
            <c:numRef>
              <c:f>'Projeção 2027'!$I$16:$I$27</c:f>
              <c:numCache>
                <c:formatCode>"R$"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6228000" cy="3311999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7b65a62e6f49f0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6228000" cy="3311999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204061fb3042c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21</xdr:row>
      <xdr:rowOff>0</xdr:rowOff>
    </xdr:from>
    <xdr:ext cx="86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c8b8918f104eec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33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e8a8607e3246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5bb118c2974b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8fb9cef971c4c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f9b722df08d496c" /></Relationships>
</file>

<file path=xl/worksheets/sheet1.xml><?xml version="1.0" encoding="utf-8"?>
<x:worksheet xmlns:x="http://schemas.openxmlformats.org/spreadsheetml/2006/main">
  <x:sheetPr>
    <x:tabColor rgb="FF0F1B33"/>
  </x:sheetPr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5" customWidth="1"/>
    <x:col min="11" max="11" width="15" customWidth="1"/>
    <x:col min="12" max="12" width="15" customWidth="1"/>
  </x:cols>
  <x:sheetData>
    <x:row r="1" ht="24" customHeight="1">
      <x:c r="A1" s="48" t="inlineStr">
        <x:is>
          <x:t xml:space="preserve">PAINEL FINANCEIRO  |  2026</x:t>
        </x:is>
      </x:c>
      <x:c r="B1" s="49" t="n"/>
      <x:c r="C1" s="49" t="n"/>
      <x:c r="D1" s="49" t="n"/>
      <x:c r="E1" s="49" t="n"/>
      <x:c r="F1" s="49" t="n"/>
      <x:c r="G1" s="49" t="n"/>
      <x:c r="H1" s="49" t="n"/>
      <x:c r="I1" s="49" t="n"/>
      <x:c r="J1" s="49" t="n"/>
      <x:c r="K1" s="49" t="n"/>
      <x:c r="L1" s="49" t="n"/>
    </x:row>
    <x:row r="2" ht="24" customHeight="1">
      <x:c r="A2" s="49" t="n"/>
      <x:c r="B2" s="49" t="n"/>
      <x:c r="C2" s="49" t="n"/>
      <x:c r="D2" s="49" t="n"/>
      <x:c r="E2" s="49" t="n"/>
      <x:c r="F2" s="49" t="n"/>
      <x:c r="G2" s="49" t="n"/>
      <x:c r="H2" s="49" t="n"/>
      <x:c r="I2" s="49" t="n"/>
      <x:c r="J2" s="49" t="n"/>
      <x:c r="K2" s="49" t="n"/>
      <x:c r="L2" s="49" t="n"/>
    </x:row>
    <x:row r="3" ht="20" customHeight="1">
      <x:c r="A3" s="50" t="inlineStr">
        <x:is>
          <x:t xml:space="preserve">Visão geral automática  •  vinculada às abas Orçamento mensal e Meta 2026</x:t>
        </x:is>
      </x:c>
      <x:c r="B3" s="51" t="n"/>
      <x:c r="C3" s="51" t="n"/>
      <x:c r="D3" s="51" t="n"/>
      <x:c r="E3" s="51" t="n"/>
      <x:c r="F3" s="51" t="n"/>
      <x:c r="G3" s="51" t="n"/>
      <x:c r="H3" s="51" t="n"/>
      <x:c r="I3" s="51" t="n"/>
      <x:c r="J3" s="51" t="n"/>
      <x:c r="K3" s="51" t="n"/>
      <x:c r="L3" s="51" t="n"/>
    </x:row>
    <x:row r="4" ht="10" customHeight="1">
      <x:c r="A4" s="52" t="n"/>
      <x:c r="B4" s="52" t="n"/>
      <x:c r="C4" s="52" t="n"/>
      <x:c r="D4" s="52" t="n"/>
      <x:c r="E4" s="52" t="n"/>
      <x:c r="F4" s="52" t="n"/>
      <x:c r="G4" s="52" t="n"/>
      <x:c r="H4" s="52" t="n"/>
      <x:c r="I4" s="52" t="n"/>
      <x:c r="J4" s="52" t="n"/>
      <x:c r="K4" s="52" t="n"/>
      <x:c r="L4" s="52" t="n"/>
    </x:row>
    <x:row r="5" ht="8" customHeight="1">
      <x:c r="A5" s="53" t="n"/>
      <x:c r="B5" s="52" t="n"/>
      <x:c r="C5" s="52" t="n"/>
      <x:c r="D5" s="54" t="n"/>
      <x:c r="E5" s="52" t="n"/>
      <x:c r="F5" s="52" t="n"/>
      <x:c r="G5" s="53" t="n"/>
      <x:c r="H5" s="52" t="n"/>
      <x:c r="I5" s="52" t="n"/>
      <x:c r="J5" s="53" t="n"/>
      <x:c r="K5" s="52" t="n"/>
      <x:c r="L5" s="52" t="n"/>
    </x:row>
    <x:row r="6" ht="22" customHeight="1">
      <x:c r="A6" s="55" t="inlineStr">
        <x:is>
          <x:t xml:space="preserve">SALÁRIO MENSAL</x:t>
        </x:is>
      </x:c>
      <x:c r="B6" s="56" t="n"/>
      <x:c r="C6" s="57" t="n"/>
      <x:c r="D6" s="58" t="inlineStr">
        <x:is>
          <x:t xml:space="preserve">GASTOS / SALÁRIO</x:t>
        </x:is>
      </x:c>
      <x:c r="E6" s="56" t="n"/>
      <x:c r="F6" s="57" t="n"/>
      <x:c r="G6" s="55" t="inlineStr">
        <x:is>
          <x:t xml:space="preserve">ECONOMIA PLANEJADA</x:t>
        </x:is>
      </x:c>
      <x:c r="H6" s="56" t="n"/>
      <x:c r="I6" s="57" t="n"/>
      <x:c r="J6" s="59" t="inlineStr">
        <x:is>
          <x:t xml:space="preserve">FALTA PARA META</x:t>
        </x:is>
      </x:c>
      <x:c r="K6" s="56" t="n"/>
      <x:c r="L6" s="57" t="n"/>
    </x:row>
    <x:row r="7" ht="22" customHeight="1">
      <x:c r="A7" s="60" t="n">
        <x:f>'Orçamento mensal'!B5</x:f>
        <x:v>1621</x:v>
      </x:c>
      <x:c r="B7" s="61" t="n"/>
      <x:c r="C7" s="62" t="n"/>
      <x:c r="D7" s="63" t="n">
        <x:f>'Orçamento mensal'!C18</x:f>
        <x:v>0.40900678593460826</x:v>
      </x:c>
      <x:c r="E7" s="61" t="n"/>
      <x:c r="F7" s="62" t="n"/>
      <x:c r="G7" s="60" t="n">
        <x:f>SUM('Orçamento mensal'!B6:B7)</x:f>
        <x:v>958</x:v>
      </x:c>
      <x:c r="H7" s="61" t="n"/>
      <x:c r="I7" s="62" t="n"/>
      <x:c r="J7" s="64" t="str">
        <x:f>'Meta 2026'!B7</x:f>
      </x:c>
      <x:c r="K7" s="61" t="n"/>
      <x:c r="L7" s="62" t="n"/>
    </x:row>
    <x:row r="8" ht="22" customHeight="1">
      <x:c r="A8" s="65" t="n"/>
      <x:c r="B8" s="61" t="n"/>
      <x:c r="C8" s="62" t="n"/>
      <x:c r="D8" s="66" t="n"/>
      <x:c r="E8" s="61" t="n"/>
      <x:c r="F8" s="62" t="n"/>
      <x:c r="G8" s="65" t="n"/>
      <x:c r="H8" s="61" t="n"/>
      <x:c r="I8" s="62" t="n"/>
      <x:c r="J8" s="67" t="n"/>
      <x:c r="K8" s="61" t="n"/>
      <x:c r="L8" s="62" t="n"/>
    </x:row>
    <x:row r="9" ht="20" customHeight="1">
      <x:c r="A9" s="68" t="inlineStr">
        <x:is>
          <x:t xml:space="preserve">Receita mensal</x:t>
        </x:is>
      </x:c>
      <x:c r="B9" s="69" t="n"/>
      <x:c r="C9" s="70" t="n"/>
      <x:c r="D9" s="71" t="inlineStr">
        <x:is>
          <x:t xml:space="preserve">Despesas em relação ao salário</x:t>
        </x:is>
      </x:c>
      <x:c r="E9" s="69" t="n"/>
      <x:c r="F9" s="70" t="n"/>
      <x:c r="G9" s="68" t="inlineStr">
        <x:is>
          <x:t xml:space="preserve">Investimento + reserva por mês</x:t>
        </x:is>
      </x:c>
      <x:c r="H9" s="69" t="n"/>
      <x:c r="I9" s="70" t="n"/>
      <x:c r="J9" s="72" t="inlineStr">
        <x:is>
          <x:t xml:space="preserve">Preencha o saldo real na aba Meta</x:t>
        </x:is>
      </x:c>
      <x:c r="K9" s="69" t="n"/>
      <x:c r="L9" s="70" t="n"/>
    </x:row>
    <x:row r="10" ht="12" customHeight="1">
      <x:c r="A10" s="52" t="n"/>
      <x:c r="B10" s="52" t="n"/>
      <x:c r="C10" s="52" t="n"/>
      <x:c r="D10" s="52" t="n"/>
      <x:c r="E10" s="52" t="n"/>
      <x:c r="F10" s="52" t="n"/>
      <x:c r="G10" s="52" t="n"/>
      <x:c r="H10" s="52" t="n"/>
      <x:c r="I10" s="52" t="n"/>
      <x:c r="J10" s="52" t="n"/>
      <x:c r="K10" s="52" t="n"/>
      <x:c r="L10" s="52" t="n"/>
    </x:row>
    <x:row r="11" ht="26" customHeight="1">
      <x:c r="A11" s="73" t="inlineStr">
        <x:is>
          <x:t xml:space="preserve">Para onde vai o seu dinheiro</x:t>
        </x:is>
      </x:c>
      <x:c r="B11" s="74" t="n"/>
      <x:c r="C11" s="74" t="n"/>
      <x:c r="D11" s="74" t="n"/>
      <x:c r="E11" s="74" t="n"/>
      <x:c r="F11" s="74" t="n"/>
      <x:c r="G11" s="74" t="n"/>
      <x:c r="H11" s="74" t="n"/>
      <x:c r="I11" s="74" t="n"/>
      <x:c r="J11" s="74" t="n"/>
      <x:c r="K11" s="74" t="n"/>
      <x:c r="L11" s="74" t="n"/>
    </x:row>
    <x:row r="12" ht="6" customHeight="1">
      <x:c r="A12" s="52" t="n"/>
      <x:c r="B12" s="52" t="n"/>
      <x:c r="C12" s="52" t="n"/>
      <x:c r="D12" s="52" t="n"/>
      <x:c r="E12" s="52" t="n"/>
      <x:c r="F12" s="52" t="n"/>
      <x:c r="G12" s="52" t="n"/>
      <x:c r="H12" s="52" t="n"/>
      <x:c r="I12" s="52" t="n"/>
      <x:c r="J12" s="52" t="n"/>
      <x:c r="K12" s="52" t="n"/>
      <x:c r="L12" s="52" t="n"/>
    </x:row>
    <x:row r="13">
      <x:c r="A13" s="52" t="n"/>
      <x:c r="B13" s="52" t="n"/>
      <x:c r="C13" s="52" t="n"/>
      <x:c r="D13" s="52" t="n"/>
      <x:c r="E13" s="52" t="n"/>
      <x:c r="F13" s="52" t="n"/>
      <x:c r="G13" s="52" t="n"/>
      <x:c r="H13" s="52" t="n"/>
      <x:c r="I13" s="52" t="n"/>
      <x:c r="J13" s="52" t="n"/>
      <x:c r="K13" s="52" t="n"/>
      <x:c r="L13" s="52" t="n"/>
    </x:row>
    <x:row r="14">
      <x:c r="A14" s="52" t="n"/>
      <x:c r="B14" s="52" t="n"/>
      <x:c r="C14" s="52" t="n"/>
      <x:c r="D14" s="52" t="n"/>
      <x:c r="E14" s="52" t="n"/>
      <x:c r="F14" s="52" t="n"/>
      <x:c r="G14" s="52" t="n"/>
      <x:c r="H14" s="52" t="n"/>
      <x:c r="I14" s="52" t="n"/>
      <x:c r="J14" s="52" t="n"/>
      <x:c r="K14" s="52" t="n"/>
      <x:c r="L14" s="52" t="n"/>
    </x:row>
    <x:row r="15">
      <x:c r="A15" s="52" t="n"/>
      <x:c r="B15" s="52" t="n"/>
      <x:c r="C15" s="52" t="n"/>
      <x:c r="D15" s="52" t="n"/>
      <x:c r="E15" s="52" t="n"/>
      <x:c r="F15" s="52" t="n"/>
      <x:c r="G15" s="52" t="n"/>
      <x:c r="H15" s="52" t="n"/>
      <x:c r="I15" s="52" t="n"/>
      <x:c r="J15" s="52" t="n"/>
      <x:c r="K15" s="52" t="n"/>
      <x:c r="L15" s="52" t="n"/>
    </x:row>
    <x:row r="16">
      <x:c r="A16" s="52" t="n"/>
      <x:c r="B16" s="52" t="n"/>
      <x:c r="C16" s="52" t="n"/>
      <x:c r="D16" s="52" t="n"/>
      <x:c r="E16" s="52" t="n"/>
      <x:c r="F16" s="52" t="n"/>
      <x:c r="G16" s="52" t="n"/>
      <x:c r="H16" s="52" t="n"/>
      <x:c r="I16" s="52" t="n"/>
      <x:c r="J16" s="52" t="n"/>
      <x:c r="K16" s="52" t="n"/>
      <x:c r="L16" s="52" t="n"/>
    </x:row>
    <x:row r="17">
      <x:c r="A17" s="52" t="n"/>
      <x:c r="B17" s="52" t="n"/>
      <x:c r="C17" s="52" t="n"/>
      <x:c r="D17" s="52" t="n"/>
      <x:c r="E17" s="52" t="n"/>
      <x:c r="F17" s="52" t="n"/>
      <x:c r="G17" s="52" t="n"/>
      <x:c r="H17" s="52" t="n"/>
      <x:c r="I17" s="52" t="n"/>
      <x:c r="J17" s="52" t="n"/>
      <x:c r="K17" s="52" t="n"/>
      <x:c r="L17" s="52" t="n"/>
    </x:row>
    <x:row r="18">
      <x:c r="A18" s="52" t="n"/>
      <x:c r="B18" s="52" t="n"/>
      <x:c r="C18" s="52" t="n"/>
      <x:c r="D18" s="52" t="n"/>
      <x:c r="E18" s="52" t="n"/>
      <x:c r="F18" s="52" t="n"/>
      <x:c r="G18" s="52" t="n"/>
      <x:c r="H18" s="52" t="n"/>
      <x:c r="I18" s="52" t="n"/>
      <x:c r="J18" s="52" t="n"/>
      <x:c r="K18" s="52" t="n"/>
      <x:c r="L18" s="52" t="n"/>
    </x:row>
    <x:row r="19">
      <x:c r="A19" s="52" t="n"/>
      <x:c r="B19" s="52" t="n"/>
      <x:c r="C19" s="52" t="n"/>
      <x:c r="D19" s="52" t="n"/>
      <x:c r="E19" s="52" t="n"/>
      <x:c r="F19" s="52" t="n"/>
      <x:c r="G19" s="52" t="n"/>
      <x:c r="H19" s="52" t="n"/>
      <x:c r="I19" s="52" t="n"/>
      <x:c r="J19" s="52" t="n"/>
      <x:c r="K19" s="52" t="n"/>
      <x:c r="L19" s="52" t="n"/>
    </x:row>
    <x:row r="20">
      <x:c r="A20" s="52" t="n"/>
      <x:c r="B20" s="52" t="n"/>
      <x:c r="C20" s="52" t="n"/>
      <x:c r="D20" s="52" t="n"/>
      <x:c r="E20" s="52" t="n"/>
      <x:c r="F20" s="52" t="n"/>
      <x:c r="G20" s="52" t="n"/>
      <x:c r="H20" s="52" t="n"/>
      <x:c r="I20" s="52" t="n"/>
      <x:c r="J20" s="52" t="n"/>
      <x:c r="K20" s="52" t="n"/>
      <x:c r="L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  <x:c r="H21" s="52" t="n"/>
      <x:c r="I21" s="52" t="n"/>
      <x:c r="J21" s="52" t="n"/>
      <x:c r="K21" s="52" t="n"/>
      <x:c r="L21" s="52" t="n"/>
    </x:row>
    <x:row r="22">
      <x:c r="A22" s="52" t="n"/>
      <x:c r="B22" s="52" t="n"/>
      <x:c r="C22" s="52" t="n"/>
      <x:c r="D22" s="52" t="n"/>
      <x:c r="E22" s="52" t="n"/>
      <x:c r="F22" s="52" t="n"/>
      <x:c r="G22" s="52" t="n"/>
      <x:c r="H22" s="52" t="n"/>
      <x:c r="I22" s="52" t="n"/>
      <x:c r="J22" s="52" t="n"/>
      <x:c r="K22" s="52" t="n"/>
      <x:c r="L22" s="52" t="n"/>
    </x:row>
    <x:row r="23">
      <x:c r="A23" s="52" t="n"/>
      <x:c r="B23" s="52" t="n"/>
      <x:c r="C23" s="52" t="n"/>
      <x:c r="D23" s="52" t="n"/>
      <x:c r="E23" s="52" t="n"/>
      <x:c r="F23" s="52" t="n"/>
      <x:c r="G23" s="52" t="n"/>
      <x:c r="H23" s="52" t="n"/>
      <x:c r="I23" s="52" t="n"/>
      <x:c r="J23" s="52" t="n"/>
      <x:c r="K23" s="52" t="n"/>
      <x:c r="L23" s="52" t="n"/>
    </x:row>
    <x:row r="24">
      <x:c r="A24" s="52" t="n"/>
      <x:c r="B24" s="52" t="n"/>
      <x:c r="C24" s="52" t="n"/>
      <x:c r="D24" s="52" t="n"/>
      <x:c r="E24" s="52" t="n"/>
      <x:c r="F24" s="52" t="n"/>
      <x:c r="G24" s="52" t="n"/>
      <x:c r="H24" s="52" t="n"/>
      <x:c r="I24" s="52" t="n"/>
      <x:c r="J24" s="52" t="n"/>
      <x:c r="K24" s="52" t="n"/>
      <x:c r="L24" s="52" t="n"/>
    </x:row>
    <x:row r="25">
      <x:c r="A25" s="52" t="n"/>
      <x:c r="B25" s="52" t="n"/>
      <x:c r="C25" s="52" t="n"/>
      <x:c r="D25" s="52" t="n"/>
      <x:c r="E25" s="52" t="n"/>
      <x:c r="F25" s="52" t="n"/>
      <x:c r="G25" s="52" t="n"/>
      <x:c r="H25" s="52" t="n"/>
      <x:c r="I25" s="52" t="n"/>
      <x:c r="J25" s="52" t="n"/>
      <x:c r="K25" s="52" t="n"/>
      <x:c r="L25" s="52" t="n"/>
    </x:row>
    <x:row r="26">
      <x:c r="A26" s="52" t="n"/>
      <x:c r="B26" s="52" t="n"/>
      <x:c r="C26" s="52" t="n"/>
      <x:c r="D26" s="52" t="n"/>
      <x:c r="E26" s="52" t="n"/>
      <x:c r="F26" s="52" t="n"/>
      <x:c r="G26" s="52" t="n"/>
      <x:c r="H26" s="52" t="n"/>
      <x:c r="I26" s="52" t="n"/>
      <x:c r="J26" s="52" t="n"/>
      <x:c r="K26" s="52" t="n"/>
      <x:c r="L26" s="52" t="n"/>
    </x:row>
    <x:row r="27">
      <x:c r="A27" s="52" t="n"/>
      <x:c r="B27" s="52" t="n"/>
      <x:c r="C27" s="52" t="n"/>
      <x:c r="D27" s="52" t="n"/>
      <x:c r="E27" s="52" t="n"/>
      <x:c r="F27" s="52" t="n"/>
      <x:c r="G27" s="52" t="n"/>
      <x:c r="H27" s="52" t="n"/>
      <x:c r="I27" s="52" t="n"/>
      <x:c r="J27" s="52" t="n"/>
      <x:c r="K27" s="52" t="n"/>
      <x:c r="L27" s="52" t="n"/>
    </x:row>
    <x:row r="28">
      <x:c r="A28" s="52" t="n"/>
      <x:c r="B28" s="52" t="n"/>
      <x:c r="C28" s="52" t="n"/>
      <x:c r="D28" s="52" t="n"/>
      <x:c r="E28" s="52" t="n"/>
      <x:c r="F28" s="52" t="n"/>
      <x:c r="G28" s="52" t="n"/>
      <x:c r="H28" s="52" t="n"/>
      <x:c r="I28" s="52" t="n"/>
      <x:c r="J28" s="52" t="n"/>
      <x:c r="K28" s="52" t="n"/>
      <x:c r="L28" s="52" t="n"/>
    </x:row>
    <x:row r="29">
      <x:c r="A29" s="52" t="n"/>
      <x:c r="B29" s="52" t="n"/>
      <x:c r="C29" s="52" t="n"/>
      <x:c r="D29" s="52" t="n"/>
      <x:c r="E29" s="52" t="n"/>
      <x:c r="F29" s="52" t="n"/>
      <x:c r="G29" s="52" t="n"/>
      <x:c r="H29" s="52" t="n"/>
      <x:c r="I29" s="52" t="n"/>
      <x:c r="J29" s="52" t="n"/>
      <x:c r="K29" s="52" t="n"/>
      <x:c r="L29" s="52" t="n"/>
    </x:row>
    <x:row r="30">
      <x:c r="A30" s="52" t="n"/>
      <x:c r="B30" s="52" t="n"/>
      <x:c r="C30" s="52" t="n"/>
      <x:c r="D30" s="52" t="n"/>
      <x:c r="E30" s="52" t="n"/>
      <x:c r="F30" s="52" t="n"/>
      <x:c r="G30" s="52" t="n"/>
      <x:c r="H30" s="52" t="n"/>
      <x:c r="I30" s="52" t="n"/>
      <x:c r="J30" s="52" t="n"/>
      <x:c r="K30" s="52" t="n"/>
      <x:c r="L30" s="52" t="n"/>
    </x:row>
    <x:row r="31">
      <x:c r="A31" s="52" t="n"/>
      <x:c r="B31" s="52" t="n"/>
      <x:c r="C31" s="52" t="n"/>
      <x:c r="D31" s="52" t="n"/>
      <x:c r="E31" s="52" t="n"/>
      <x:c r="F31" s="52" t="n"/>
      <x:c r="G31" s="52" t="n"/>
      <x:c r="H31" s="52" t="n"/>
      <x:c r="I31" s="52" t="n"/>
      <x:c r="J31" s="52" t="n"/>
      <x:c r="K31" s="52" t="n"/>
      <x:c r="L31" s="52" t="n"/>
    </x:row>
    <x:row r="32">
      <x:c r="A32" s="52" t="n"/>
      <x:c r="B32" s="52" t="n"/>
      <x:c r="C32" s="52" t="n"/>
      <x:c r="D32" s="52" t="n"/>
      <x:c r="E32" s="52" t="n"/>
      <x:c r="F32" s="52" t="n"/>
      <x:c r="G32" s="52" t="n"/>
      <x:c r="H32" s="52" t="n"/>
      <x:c r="I32" s="52" t="n"/>
      <x:c r="J32" s="52" t="n"/>
      <x:c r="K32" s="52" t="n"/>
      <x:c r="L32" s="52" t="n"/>
    </x:row>
    <x:row r="33" ht="26" customHeight="1">
      <x:c r="A33" s="75" t="inlineStr">
        <x:is>
          <x:t xml:space="preserve">DADOS DOS GRÁFICOS  (atualização automática, não editar)</x:t>
        </x:is>
      </x:c>
      <x:c r="B33" s="76" t="n"/>
      <x:c r="C33" s="76" t="n"/>
      <x:c r="D33" s="76" t="n"/>
      <x:c r="E33" s="76" t="n"/>
      <x:c r="F33" s="76" t="n"/>
      <x:c r="G33" s="76" t="n"/>
      <x:c r="H33" s="76" t="n"/>
      <x:c r="I33" s="76" t="n"/>
      <x:c r="J33" s="76" t="n"/>
      <x:c r="K33" s="76" t="n"/>
      <x:c r="L33" s="76" t="n"/>
    </x:row>
    <x:row r="34" ht="16" customHeight="1">
      <x:c r="A34" s="77" t="inlineStr">
        <x:is>
          <x:t xml:space="preserve">Despesas</x:t>
        </x:is>
      </x:c>
      <x:c r="B34" s="78" t="n">
        <x:f>'Orçamento mensal'!B24</x:f>
        <x:v>663</x:v>
      </x:c>
      <x:c r="C34" s="77" t="n"/>
      <x:c r="D34" s="77" t="inlineStr">
        <x:is>
          <x:t xml:space="preserve">Cabelo</x:t>
        </x:is>
      </x:c>
      <x:c r="E34" s="78" t="n">
        <x:f>'Orçamento mensal'!B11</x:f>
        <x:v>139</x:v>
      </x:c>
      <x:c r="F34" s="77" t="n"/>
      <x:c r="G34" s="77" t="inlineStr">
        <x:is>
          <x:t xml:space="preserve">Outubro</x:t>
        </x:is>
      </x:c>
      <x:c r="H34" s="78" t="n">
        <x:f>'Meta 2026'!B14</x:f>
        <x:v>4489.89</x:v>
      </x:c>
      <x:c r="I34" s="52" t="n"/>
      <x:c r="J34" s="52" t="n"/>
      <x:c r="K34" s="52" t="n"/>
      <x:c r="L34" s="52" t="n"/>
    </x:row>
    <x:row r="35" ht="16" customHeight="1">
      <x:c r="A35" s="77" t="inlineStr">
        <x:is>
          <x:t xml:space="preserve">Investimento</x:t>
        </x:is>
      </x:c>
      <x:c r="B35" s="78" t="n">
        <x:f>'Orçamento mensal'!B25</x:f>
        <x:v>482</x:v>
      </x:c>
      <x:c r="C35" s="77" t="n"/>
      <x:c r="D35" s="77" t="inlineStr">
        <x:is>
          <x:t xml:space="preserve">Internet</x:t>
        </x:is>
      </x:c>
      <x:c r="E35" s="78" t="n">
        <x:f>'Orçamento mensal'!B12</x:f>
        <x:v>50</x:v>
      </x:c>
      <x:c r="F35" s="77" t="n"/>
      <x:c r="G35" s="77" t="inlineStr">
        <x:is>
          <x:t xml:space="preserve">Novembro</x:t>
        </x:is>
      </x:c>
      <x:c r="H35" s="78" t="n">
        <x:f>'Meta 2026'!B15</x:f>
        <x:v>4971.89</x:v>
      </x:c>
      <x:c r="I35" s="52" t="n"/>
      <x:c r="J35" s="52" t="n"/>
      <x:c r="K35" s="52" t="n"/>
      <x:c r="L35" s="52" t="n"/>
    </x:row>
    <x:row r="36" ht="16" customHeight="1">
      <x:c r="A36" s="77" t="inlineStr">
        <x:is>
          <x:t xml:space="preserve">Reserva</x:t>
        </x:is>
      </x:c>
      <x:c r="B36" s="78" t="n">
        <x:f>'Orçamento mensal'!B26</x:f>
        <x:v>476</x:v>
      </x:c>
      <x:c r="C36" s="77" t="n"/>
      <x:c r="D36" s="77" t="inlineStr">
        <x:is>
          <x:t xml:space="preserve">Premier</x:t>
        </x:is>
      </x:c>
      <x:c r="E36" s="78" t="n">
        <x:f>'Orçamento mensal'!B13</x:f>
        <x:v>30</x:v>
      </x:c>
      <x:c r="F36" s="77" t="n"/>
      <x:c r="G36" s="77" t="inlineStr">
        <x:is>
          <x:t xml:space="preserve">Dezembro</x:t>
        </x:is>
      </x:c>
      <x:c r="H36" s="78" t="n">
        <x:f>'Meta 2026'!B16</x:f>
        <x:v>5453.89</x:v>
      </x:c>
      <x:c r="I36" s="52" t="n"/>
      <x:c r="J36" s="52" t="n"/>
      <x:c r="K36" s="52" t="n"/>
      <x:c r="L36" s="52" t="n"/>
    </x:row>
    <x:row r="37" ht="16" customHeight="1">
      <x:c r="A37" s="77" t="inlineStr">
        <x:is>
          <x:t xml:space="preserve">Livre</x:t>
        </x:is>
      </x:c>
      <x:c r="B37" s="78" t="n">
        <x:f>'Orçamento mensal'!B27</x:f>
        <x:v>0</x:v>
      </x:c>
      <x:c r="C37" s="77" t="n"/>
      <x:c r="D37" s="77" t="inlineStr">
        <x:is>
          <x:t xml:space="preserve">Apple</x:t>
        </x:is>
      </x:c>
      <x:c r="E37" s="78" t="n">
        <x:f>'Orçamento mensal'!B14</x:f>
        <x:v>20</x:v>
      </x:c>
      <x:c r="F37" s="77" t="n"/>
      <x:c r="G37" s="77" t="n"/>
      <x:c r="H37" s="78" t="n"/>
      <x:c r="I37" s="52" t="n"/>
      <x:c r="J37" s="52" t="n"/>
      <x:c r="K37" s="52" t="n"/>
      <x:c r="L37" s="52" t="n"/>
    </x:row>
    <x:row r="38" ht="16" customHeight="1">
      <x:c r="A38" s="77" t="n"/>
      <x:c r="B38" s="78" t="n"/>
      <x:c r="C38" s="77" t="n"/>
      <x:c r="D38" s="77" t="inlineStr">
        <x:is>
          <x:t xml:space="preserve">Antigravity</x:t>
        </x:is>
      </x:c>
      <x:c r="E38" s="78" t="n">
        <x:f>'Orçamento mensal'!B15</x:f>
        <x:v>24</x:v>
      </x:c>
      <x:c r="F38" s="77" t="n"/>
      <x:c r="G38" s="77" t="n"/>
      <x:c r="H38" s="78" t="n"/>
      <x:c r="I38" s="52" t="n"/>
      <x:c r="J38" s="52" t="n"/>
      <x:c r="K38" s="52" t="n"/>
      <x:c r="L38" s="52" t="n"/>
    </x:row>
    <x:row r="39" ht="16" customHeight="1">
      <x:c r="A39" s="77" t="n"/>
      <x:c r="B39" s="78" t="n"/>
      <x:c r="C39" s="77" t="n"/>
      <x:c r="D39" s="77" t="inlineStr">
        <x:is>
          <x:t xml:space="preserve">Diversão</x:t>
        </x:is>
      </x:c>
      <x:c r="E39" s="78" t="n">
        <x:f>'Orçamento mensal'!B16</x:f>
        <x:v>400</x:v>
      </x:c>
      <x:c r="F39" s="77" t="n"/>
      <x:c r="G39" s="77" t="n"/>
      <x:c r="H39" s="78" t="n"/>
      <x:c r="I39" s="52" t="n"/>
      <x:c r="J39" s="52" t="n"/>
      <x:c r="K39" s="52" t="n"/>
      <x:c r="L39" s="52" t="n"/>
    </x:row>
    <x:row r="40">
      <x:c r="A40" s="52" t="n"/>
      <x:c r="B40" s="52" t="n"/>
      <x:c r="C40" s="52" t="n"/>
      <x:c r="D40" s="52" t="n"/>
      <x:c r="E40" s="52" t="n"/>
      <x:c r="F40" s="52" t="n"/>
      <x:c r="G40" s="52" t="n"/>
      <x:c r="H40" s="52" t="n"/>
      <x:c r="I40" s="52" t="n"/>
      <x:c r="J40" s="52" t="n"/>
      <x:c r="K40" s="52" t="n"/>
      <x:c r="L40" s="52" t="n"/>
    </x:row>
    <x:row r="41">
      <x:c r="A41" s="79" t="inlineStr">
        <x:is>
          <x:t xml:space="preserve">Altere somente as células verdes nas outras abas para atualizar o painel.</x:t>
        </x:is>
      </x:c>
      <x:c r="B41" s="52" t="n"/>
      <x:c r="C41" s="52" t="n"/>
      <x:c r="D41" s="52" t="n"/>
      <x:c r="E41" s="52" t="n"/>
      <x:c r="F41" s="52" t="n"/>
      <x:c r="G41" s="52" t="n"/>
      <x:c r="H41" s="52" t="n"/>
      <x:c r="I41" s="52" t="n"/>
      <x:c r="J41" s="52" t="n"/>
      <x:c r="K41" s="52" t="n"/>
      <x:c r="L41" s="52" t="n"/>
    </x:row>
    <x:row r="42">
      <x:c r="A42" s="52" t="n"/>
      <x:c r="B42" s="52" t="n"/>
      <x:c r="C42" s="52" t="n"/>
      <x:c r="D42" s="52" t="n"/>
      <x:c r="E42" s="52" t="n"/>
      <x:c r="F42" s="52" t="n"/>
      <x:c r="G42" s="52" t="n"/>
      <x:c r="H42" s="52" t="n"/>
      <x:c r="I42" s="52" t="n"/>
      <x:c r="J42" s="52" t="n"/>
      <x:c r="K42" s="52" t="n"/>
      <x:c r="L42" s="52" t="n"/>
    </x:row>
  </x:sheetData>
  <x:mergeCells>
    <x:mergeCell ref="J6:L6"/>
    <x:mergeCell ref="G6:I6"/>
    <x:mergeCell ref="A9:C9"/>
    <x:mergeCell ref="G9:I9"/>
    <x:mergeCell ref="A3:L3"/>
    <x:mergeCell ref="D7:F8"/>
    <x:mergeCell ref="J7:L8"/>
    <x:mergeCell ref="A6:C6"/>
    <x:mergeCell ref="A1:L2"/>
    <x:mergeCell ref="D9:F9"/>
    <x:mergeCell ref="J9:L9"/>
    <x:mergeCell ref="D6:F6"/>
    <x:mergeCell ref="A7:C8"/>
    <x:mergeCell ref="G7:I8"/>
  </x:mergeCells>
  <x:conditionalFormatting sqref="D7:D7">
    <x:cfRule type="cellIs" dxfId="0" priority="1" operator="greaterThan">
      <x:formula>1</x:formula>
    </x:cfRule>
  </x:conditionalFormatting>
  <x:pageMargins left="0.7" right="0.7" top="0.75" bottom="0.75" header="0.3" footer="0.3"/>
  <x:drawing xmlns:r="http://schemas.openxmlformats.org/officeDocument/2006/relationships" r:id="R495bb118c2974b0c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0" customWidth="1"/>
    <x:col min="2" max="2" width="18" customWidth="1"/>
    <x:col min="3" max="3" width="16" customWidth="1"/>
    <x:col min="4" max="4" width="30" customWidth="1"/>
  </x:cols>
  <x:sheetData>
    <x:row r="1" ht="24" customHeight="1">
      <x:c r="A1" s="48" t="inlineStr">
        <x:is>
          <x:t xml:space="preserve">ORÇAMENTO MENSAL</x:t>
        </x:is>
      </x:c>
      <x:c r="B1" s="49" t="n"/>
      <x:c r="C1" s="49" t="n"/>
      <x:c r="D1" s="49" t="n"/>
    </x:row>
    <x:row r="2" ht="24" customHeight="1">
      <x:c r="A2" s="49" t="n"/>
      <x:c r="B2" s="49" t="n"/>
      <x:c r="C2" s="49" t="n"/>
      <x:c r="D2" s="49" t="n"/>
    </x:row>
    <x:row r="3" ht="20" customHeight="1">
      <x:c r="A3" s="50" t="inlineStr">
        <x:is>
          <x:t xml:space="preserve">Células verdes são editáveis  •  o restante é calculado automaticamente</x:t>
        </x:is>
      </x:c>
      <x:c r="B3" s="51" t="n"/>
      <x:c r="C3" s="51" t="n"/>
      <x:c r="D3" s="51" t="n"/>
    </x:row>
    <x:row r="4" ht="24" customHeight="1">
      <x:c r="A4" s="80" t="inlineStr">
        <x:is>
          <x:t xml:space="preserve">Parâmetro</x:t>
        </x:is>
      </x:c>
      <x:c r="B4" s="81" t="inlineStr">
        <x:is>
          <x:t xml:space="preserve">Valor (R$)</x:t>
        </x:is>
      </x:c>
      <x:c r="C4" s="81" t="inlineStr">
        <x:is>
          <x:t xml:space="preserve">% do salário</x:t>
        </x:is>
      </x:c>
      <x:c r="D4" s="81" t="inlineStr">
        <x:is>
          <x:t xml:space="preserve">Observação</x:t>
        </x:is>
      </x:c>
    </x:row>
    <x:row r="5" ht="22" customHeight="1">
      <x:c r="A5" s="82" t="inlineStr">
        <x:is>
          <x:t xml:space="preserve">Salário mensal</x:t>
        </x:is>
      </x:c>
      <x:c r="B5" s="83" t="n">
        <x:v>1621</x:v>
      </x:c>
      <x:c r="C5" s="84" t="n">
        <x:f>IFERROR(B5/$B$5,0)</x:f>
        <x:v>1</x:v>
      </x:c>
      <x:c r="D5" s="85" t="inlineStr">
        <x:is>
          <x:t xml:space="preserve">Valor editável</x:t>
        </x:is>
      </x:c>
    </x:row>
    <x:row r="6" ht="22" customHeight="1">
      <x:c r="A6" s="86" t="inlineStr">
        <x:is>
          <x:t xml:space="preserve">Investimento mensal</x:t>
        </x:is>
      </x:c>
      <x:c r="B6" s="83" t="n">
        <x:v>482</x:v>
      </x:c>
      <x:c r="C6" s="87" t="n">
        <x:f>IFERROR(B6/$B$5,0)</x:f>
        <x:v>0.297347316471314</x:v>
      </x:c>
      <x:c r="D6" s="88" t="inlineStr">
        <x:is>
          <x:t xml:space="preserve">Aporte planejado</x:t>
        </x:is>
      </x:c>
    </x:row>
    <x:row r="7" ht="22" customHeight="1">
      <x:c r="A7" s="82" t="inlineStr">
        <x:is>
          <x:t xml:space="preserve">Reserva de emergência</x:t>
        </x:is>
      </x:c>
      <x:c r="B7" s="83" t="n">
        <x:v>476</x:v>
      </x:c>
      <x:c r="C7" s="84" t="n">
        <x:f>IFERROR(B7/$B$5,0)</x:f>
        <x:v>0.2936458975940777</x:v>
      </x:c>
      <x:c r="D7" s="85" t="inlineStr">
        <x:is>
          <x:t xml:space="preserve">Separada do investimento</x:t>
        </x:is>
      </x:c>
    </x:row>
    <x:row r="8" ht="10" customHeight="1">
      <x:c r="A8" s="52" t="n"/>
      <x:c r="B8" s="53" t="n"/>
      <x:c r="C8" s="54" t="n"/>
      <x:c r="D8" s="52" t="n"/>
    </x:row>
    <x:row r="9" ht="10" customHeight="1">
      <x:c r="A9" s="52" t="n"/>
      <x:c r="B9" s="53" t="n"/>
      <x:c r="C9" s="54" t="n"/>
      <x:c r="D9" s="52" t="n"/>
    </x:row>
    <x:row r="10" ht="24" customHeight="1">
      <x:c r="A10" s="80" t="inlineStr">
        <x:is>
          <x:t xml:space="preserve">Despesas mensais</x:t>
        </x:is>
      </x:c>
      <x:c r="B10" s="89" t="inlineStr">
        <x:is>
          <x:t xml:space="preserve">Valor (R$)</x:t>
        </x:is>
      </x:c>
      <x:c r="C10" s="90" t="inlineStr">
        <x:is>
          <x:t xml:space="preserve">% do salário</x:t>
        </x:is>
      </x:c>
      <x:c r="D10" s="81" t="inlineStr">
        <x:is>
          <x:t xml:space="preserve">Tipo</x:t>
        </x:is>
      </x:c>
    </x:row>
    <x:row r="11" ht="22" customHeight="1">
      <x:c r="A11" s="82" t="inlineStr">
        <x:is>
          <x:t xml:space="preserve">Cabelo</x:t>
        </x:is>
      </x:c>
      <x:c r="B11" s="83" t="n">
        <x:v>139</x:v>
      </x:c>
      <x:c r="C11" s="84" t="n">
        <x:f>IFERROR(B11/$B$5,0)</x:f>
        <x:v>0.08574953732264035</x:v>
      </x:c>
      <x:c r="D11" s="85" t="inlineStr">
        <x:is>
          <x:t xml:space="preserve">Despesa mensal</x:t>
        </x:is>
      </x:c>
    </x:row>
    <x:row r="12" ht="22" customHeight="1">
      <x:c r="A12" s="86" t="inlineStr">
        <x:is>
          <x:t xml:space="preserve">Internet</x:t>
        </x:is>
      </x:c>
      <x:c r="B12" s="83" t="n">
        <x:v>50</x:v>
      </x:c>
      <x:c r="C12" s="87" t="n">
        <x:f>IFERROR(B12/$B$5,0)</x:f>
        <x:v>0.030845157310302282</x:v>
      </x:c>
      <x:c r="D12" s="88" t="inlineStr">
        <x:is>
          <x:t xml:space="preserve">Despesa mensal</x:t>
        </x:is>
      </x:c>
    </x:row>
    <x:row r="13" ht="22" customHeight="1">
      <x:c r="A13" s="82" t="inlineStr">
        <x:is>
          <x:t xml:space="preserve">Premier</x:t>
        </x:is>
      </x:c>
      <x:c r="B13" s="83" t="n">
        <x:v>30</x:v>
      </x:c>
      <x:c r="C13" s="84" t="n">
        <x:f>IFERROR(B13/$B$5,0)</x:f>
        <x:v>0.01850709438618137</x:v>
      </x:c>
      <x:c r="D13" s="85" t="inlineStr">
        <x:is>
          <x:t xml:space="preserve">Despesa mensal</x:t>
        </x:is>
      </x:c>
    </x:row>
    <x:row r="14" ht="22" customHeight="1">
      <x:c r="A14" s="86" t="inlineStr">
        <x:is>
          <x:t xml:space="preserve">Apple</x:t>
        </x:is>
      </x:c>
      <x:c r="B14" s="83" t="n">
        <x:v>20</x:v>
      </x:c>
      <x:c r="C14" s="87" t="n">
        <x:f>IFERROR(B14/$B$5,0)</x:f>
        <x:v>0.012338062924120914</x:v>
      </x:c>
      <x:c r="D14" s="88" t="inlineStr">
        <x:is>
          <x:t xml:space="preserve">Despesa mensal</x:t>
        </x:is>
      </x:c>
    </x:row>
    <x:row r="15" ht="22" customHeight="1">
      <x:c r="A15" s="82" t="inlineStr">
        <x:is>
          <x:t xml:space="preserve">Antigravity</x:t>
        </x:is>
      </x:c>
      <x:c r="B15" s="83" t="n">
        <x:v>24</x:v>
      </x:c>
      <x:c r="C15" s="84" t="n">
        <x:f>IFERROR(B15/$B$5,0)</x:f>
        <x:v>0.014805675508945095</x:v>
      </x:c>
      <x:c r="D15" s="85" t="inlineStr">
        <x:is>
          <x:t xml:space="preserve">Despesa mensal</x:t>
        </x:is>
      </x:c>
    </x:row>
    <x:row r="16" ht="22" customHeight="1">
      <x:c r="A16" s="86" t="inlineStr">
        <x:is>
          <x:t xml:space="preserve">Diversão</x:t>
        </x:is>
      </x:c>
      <x:c r="B16" s="83" t="n">
        <x:v>400</x:v>
      </x:c>
      <x:c r="C16" s="87" t="n">
        <x:f>IFERROR(B16/$B$5,0)</x:f>
        <x:v>0.24676125848241826</x:v>
      </x:c>
      <x:c r="D16" s="88" t="inlineStr">
        <x:is>
          <x:t xml:space="preserve">Despesa mensal</x:t>
        </x:is>
      </x:c>
    </x:row>
    <x:row r="17" ht="8" customHeight="1">
      <x:c r="A17" s="52" t="n"/>
      <x:c r="B17" s="53" t="n"/>
      <x:c r="C17" s="54" t="n"/>
      <x:c r="D17" s="52" t="n"/>
    </x:row>
    <x:row r="18" ht="24" customHeight="1">
      <x:c r="A18" s="91" t="inlineStr">
        <x:is>
          <x:t xml:space="preserve">TOTAL DE DESPESAS</x:t>
        </x:is>
      </x:c>
      <x:c r="B18" s="92" t="n">
        <x:f>SUM(B11:B16)</x:f>
        <x:v>663</x:v>
      </x:c>
      <x:c r="C18" s="93" t="n">
        <x:f>IFERROR(B18/$B$5,0)</x:f>
        <x:v>0.40900678593460826</x:v>
      </x:c>
      <x:c r="D18" s="52" t="n"/>
    </x:row>
    <x:row r="19" ht="24" customHeight="1">
      <x:c r="A19" s="91" t="inlineStr">
        <x:is>
          <x:t xml:space="preserve">TOTAL COMPROMETIDO</x:t>
        </x:is>
      </x:c>
      <x:c r="B19" s="92" t="n">
        <x:f>SUM(B18,B6,B7)</x:f>
        <x:v>1621</x:v>
      </x:c>
      <x:c r="C19" s="93" t="n">
        <x:f>IFERROR(B19/$B$5,0)</x:f>
        <x:v>1</x:v>
      </x:c>
      <x:c r="D19" s="52" t="n"/>
    </x:row>
    <x:row r="20" ht="24" customHeight="1">
      <x:c r="A20" s="91" t="inlineStr">
        <x:is>
          <x:t xml:space="preserve">SALDO DISPONÍVEL</x:t>
        </x:is>
      </x:c>
      <x:c r="B20" s="94" t="n">
        <x:f>B5-B19</x:f>
        <x:v>0</x:v>
      </x:c>
      <x:c r="C20" s="93" t="n">
        <x:f>IFERROR(B20/$B$5,0)</x:f>
        <x:v>0</x:v>
      </x:c>
      <x:c r="D20" s="52" t="n"/>
    </x:row>
    <x:row r="21" ht="10" customHeight="1">
      <x:c r="A21" s="52" t="n"/>
      <x:c r="B21" s="53" t="n"/>
      <x:c r="C21" s="54" t="n"/>
      <x:c r="D21" s="52" t="n"/>
    </x:row>
    <x:row r="22" ht="10" customHeight="1">
      <x:c r="A22" s="52" t="n"/>
      <x:c r="B22" s="53" t="n"/>
      <x:c r="C22" s="54" t="n"/>
      <x:c r="D22" s="52" t="n"/>
    </x:row>
    <x:row r="23" ht="24" customHeight="1">
      <x:c r="A23" s="80" t="inlineStr">
        <x:is>
          <x:t xml:space="preserve">Distribuição do salário</x:t>
        </x:is>
      </x:c>
      <x:c r="B23" s="89" t="inlineStr">
        <x:is>
          <x:t xml:space="preserve">Valor (R$)</x:t>
        </x:is>
      </x:c>
      <x:c r="C23" s="90" t="inlineStr">
        <x:is>
          <x:t xml:space="preserve">% do salário</x:t>
        </x:is>
      </x:c>
      <x:c r="D23" s="81" t="inlineStr">
        <x:is>
          <x:t xml:space="preserve">Classe</x:t>
        </x:is>
      </x:c>
    </x:row>
    <x:row r="24" ht="22" customHeight="1">
      <x:c r="A24" s="95" t="inlineStr">
        <x:is>
          <x:t xml:space="preserve">Despesas</x:t>
        </x:is>
      </x:c>
      <x:c r="B24" s="96" t="n">
        <x:f>B18</x:f>
        <x:v>663</x:v>
      </x:c>
      <x:c r="C24" s="84" t="n">
        <x:f>IFERROR(B24/$B$5,0)</x:f>
        <x:v>0.40900678593460826</x:v>
      </x:c>
      <x:c r="D24" s="97" t="inlineStr">
        <x:is>
          <x:t xml:space="preserve">Gasto</x:t>
        </x:is>
      </x:c>
    </x:row>
    <x:row r="25" ht="22" customHeight="1">
      <x:c r="A25" s="98" t="inlineStr">
        <x:is>
          <x:t xml:space="preserve">Investimento</x:t>
        </x:is>
      </x:c>
      <x:c r="B25" s="99" t="n">
        <x:f>B6</x:f>
        <x:v>482</x:v>
      </x:c>
      <x:c r="C25" s="87" t="n">
        <x:f>IFERROR(B25/$B$5,0)</x:f>
        <x:v>0.297347316471314</x:v>
      </x:c>
      <x:c r="D25" s="100" t="inlineStr">
        <x:is>
          <x:t xml:space="preserve">Aporte</x:t>
        </x:is>
      </x:c>
    </x:row>
    <x:row r="26" ht="22" customHeight="1">
      <x:c r="A26" s="101" t="inlineStr">
        <x:is>
          <x:t xml:space="preserve">Reserva de emergência</x:t>
        </x:is>
      </x:c>
      <x:c r="B26" s="96" t="n">
        <x:f>B7</x:f>
        <x:v>476</x:v>
      </x:c>
      <x:c r="C26" s="84" t="n">
        <x:f>IFERROR(B26/$B$5,0)</x:f>
        <x:v>0.2936458975940777</x:v>
      </x:c>
      <x:c r="D26" s="102" t="inlineStr">
        <x:is>
          <x:t xml:space="preserve">Reserva</x:t>
        </x:is>
      </x:c>
    </x:row>
    <x:row r="27" ht="22" customHeight="1">
      <x:c r="A27" s="103" t="inlineStr">
        <x:is>
          <x:t xml:space="preserve">Disponível</x:t>
        </x:is>
      </x:c>
      <x:c r="B27" s="99" t="n">
        <x:f>B20</x:f>
        <x:v>0</x:v>
      </x:c>
      <x:c r="C27" s="87" t="n">
        <x:f>IFERROR(B27/$B$5,0)</x:f>
        <x:v>0</x:v>
      </x:c>
      <x:c r="D27" s="104" t="inlineStr">
        <x:is>
          <x:t xml:space="preserve">Livre</x:t>
        </x:is>
      </x:c>
    </x:row>
    <x:row r="28" ht="10" customHeight="1">
      <x:c r="A28" s="52" t="n"/>
      <x:c r="B28" s="52" t="n"/>
      <x:c r="C28" s="52" t="n"/>
      <x:c r="D28" s="52" t="n"/>
    </x:row>
    <x:row r="29">
      <x:c r="A29" s="52" t="n"/>
      <x:c r="B29" s="52" t="n"/>
      <x:c r="C29" s="52" t="n"/>
      <x:c r="D29" s="52" t="n"/>
    </x:row>
    <x:row r="30" ht="22" customHeight="1">
      <x:c r="A30" s="105" t="inlineStr">
        <x:is>
          <x:t xml:space="preserve">EDITÁVEL: células verdes. Valores restantes e percentuais são calculados automaticamente.</x:t>
        </x:is>
      </x:c>
      <x:c r="B30" s="1" t="n"/>
      <x:c r="C30" s="1" t="n"/>
      <x:c r="D30" s="1" t="n"/>
    </x:row>
    <x:row r="31">
      <x:c r="A31" s="52" t="n"/>
      <x:c r="B31" s="52" t="n"/>
      <x:c r="C31" s="52" t="n"/>
      <x:c r="D31" s="52" t="n"/>
    </x:row>
    <x:row r="32">
      <x:c r="A32" s="52" t="n"/>
      <x:c r="B32" s="52" t="n"/>
      <x:c r="C32" s="52" t="n"/>
      <x:c r="D32" s="52" t="n"/>
    </x:row>
  </x:sheetData>
  <x:mergeCells>
    <x:mergeCell ref="A1:D2"/>
    <x:mergeCell ref="A3:D3"/>
    <x:mergeCell ref="A30:D30"/>
  </x:mergeCells>
  <x:conditionalFormatting sqref="C11:C16">
    <x:cfRule type="dataBar" priority="1">
      <x:dataBar showValue="1">
        <x:cfvo type="num" val="0"/>
        <x:cfvo type="num" val="1"/>
        <x:color rgb="00FDA4AF"/>
      </x:dataBar>
    </x:cfRule>
  </x:conditionalFormatting>
  <x:conditionalFormatting sqref="C24:C27">
    <x:cfRule type="dataBar" priority="2">
      <x:dataBar showValue="1">
        <x:cfvo type="num" val="0"/>
        <x:cfvo type="num" val="1"/>
        <x:color rgb="005EEAD4"/>
      </x:dataBar>
    </x:cfRule>
  </x:conditionalFormatting>
  <x:conditionalFormatting sqref="B20:B20">
    <x:cfRule type="cellIs" dxfId="1" priority="3" operator="lessThan">
      <x:formula>0</x:formula>
    </x:cfRule>
  </x:conditionalFormatting>
  <x:conditionalFormatting sqref="C19:C19">
    <x:cfRule type="cellIs" dxfId="1" priority="4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18" customWidth="1"/>
    <x:col min="3" max="3" width="18" customWidth="1"/>
    <x:col min="4" max="4" width="18" customWidth="1"/>
    <x:col min="5" max="5" width="18" customWidth="1"/>
    <x:col min="6" max="6" width="16" customWidth="1"/>
    <x:col min="7" max="7" width="16" customWidth="1"/>
  </x:cols>
  <x:sheetData>
    <x:row r="1" ht="24" customHeight="1">
      <x:c r="A1" s="48" t="inlineStr">
        <x:is>
          <x:t xml:space="preserve">META DE ECONOMIA</x:t>
        </x:is>
      </x:c>
      <x:c r="B1" s="49" t="n"/>
      <x:c r="C1" s="49" t="n"/>
      <x:c r="D1" s="49" t="n"/>
      <x:c r="E1" s="49" t="n"/>
      <x:c r="F1" s="49" t="n"/>
      <x:c r="G1" s="49" t="n"/>
    </x:row>
    <x:row r="2" ht="24" customHeight="1">
      <x:c r="A2" s="49" t="n"/>
      <x:c r="B2" s="49" t="n"/>
      <x:c r="C2" s="49" t="n"/>
      <x:c r="D2" s="49" t="n"/>
      <x:c r="E2" s="49" t="n"/>
      <x:c r="F2" s="49" t="n"/>
      <x:c r="G2" s="49" t="n"/>
    </x:row>
    <x:row r="3" ht="20" customHeight="1">
      <x:c r="A3" s="50" t="inlineStr">
        <x:is>
          <x:t xml:space="preserve">Acompanhe o saldo real contra o previsto  •  células verdes são editáveis</x:t>
        </x:is>
      </x:c>
      <x:c r="B3" s="51" t="n"/>
      <x:c r="C3" s="51" t="n"/>
      <x:c r="D3" s="51" t="n"/>
      <x:c r="E3" s="51" t="n"/>
      <x:c r="F3" s="51" t="n"/>
      <x:c r="G3" s="51" t="n"/>
    </x:row>
    <x:row r="4" ht="24" customHeight="1">
      <x:c r="A4" s="80" t="inlineStr">
        <x:is>
          <x:t xml:space="preserve">Indicador</x:t>
        </x:is>
      </x:c>
      <x:c r="B4" s="81" t="inlineStr">
        <x:is>
          <x:t xml:space="preserve">Valor</x:t>
        </x:is>
      </x:c>
      <x:c r="C4" s="81" t="inlineStr">
        <x:is>
          <x:t xml:space="preserve">Detalhe</x:t>
        </x:is>
      </x:c>
      <x:c r="D4" s="51" t="n"/>
      <x:c r="E4" s="51" t="n"/>
      <x:c r="F4" s="51" t="n"/>
      <x:c r="G4" s="51" t="n"/>
    </x:row>
    <x:row r="5" ht="22" customHeight="1">
      <x:c r="A5" s="82" t="inlineStr">
        <x:is>
          <x:t xml:space="preserve">Meta anual</x:t>
        </x:is>
      </x:c>
      <x:c r="B5" s="106" t="n">
        <x:v>5453.89</x:v>
      </x:c>
      <x:c r="C5" s="85" t="inlineStr">
        <x:is>
          <x:t xml:space="preserve">Alvo editável — previsão original</x:t>
        </x:is>
      </x:c>
      <x:c r="D5" s="107" t="n"/>
      <x:c r="E5" s="107" t="n"/>
      <x:c r="F5" s="107" t="n"/>
      <x:c r="G5" s="107" t="n"/>
    </x:row>
    <x:row r="6" ht="22" customHeight="1">
      <x:c r="A6" s="86" t="inlineStr">
        <x:is>
          <x:t xml:space="preserve">Saldo real guardado</x:t>
        </x:is>
      </x:c>
      <x:c r="B6" s="106" t="n"/>
      <x:c r="C6" s="88" t="inlineStr">
        <x:is>
          <x:t xml:space="preserve">Digite o total realmente acumulado</x:t>
        </x:is>
      </x:c>
      <x:c r="D6" s="108" t="n"/>
      <x:c r="E6" s="108" t="n"/>
      <x:c r="F6" s="108" t="n"/>
      <x:c r="G6" s="108" t="n"/>
    </x:row>
    <x:row r="7" ht="22" customHeight="1">
      <x:c r="A7" s="82" t="inlineStr">
        <x:is>
          <x:t xml:space="preserve">Falta para a meta</x:t>
        </x:is>
      </x:c>
      <x:c r="B7" s="109" t="str">
        <x:f>IF(B6="","",MAX(0,B5-B6))</x:f>
      </x:c>
      <x:c r="C7" s="85" t="inlineStr">
        <x:is>
          <x:t xml:space="preserve">Calculado com saldo real</x:t>
        </x:is>
      </x:c>
      <x:c r="D7" s="107" t="n"/>
      <x:c r="E7" s="107" t="n"/>
      <x:c r="F7" s="107" t="n"/>
      <x:c r="G7" s="107" t="n"/>
    </x:row>
    <x:row r="8" ht="22" customHeight="1">
      <x:c r="A8" s="86" t="inlineStr">
        <x:is>
          <x:t xml:space="preserve">Progresso real</x:t>
        </x:is>
      </x:c>
      <x:c r="B8" s="110" t="str">
        <x:f>IF(B6="","",IFERROR(B6/B5,0))</x:f>
      </x:c>
      <x:c r="C8" s="88" t="inlineStr">
        <x:is>
          <x:t xml:space="preserve">Percentual alcançado</x:t>
        </x:is>
      </x:c>
      <x:c r="D8" s="108" t="n"/>
      <x:c r="E8" s="108" t="n"/>
      <x:c r="F8" s="108" t="n"/>
      <x:c r="G8" s="108" t="n"/>
    </x:row>
    <x:row r="9" ht="22" customHeight="1">
      <x:c r="A9" s="82" t="inlineStr">
        <x:is>
          <x:t xml:space="preserve">Meta alcançada</x:t>
        </x:is>
      </x:c>
      <x:c r="B9" s="111" t="str">
        <x:f>IF(B6="","Aguardando saldo",IF(B6&gt;=B5,"SIM","NÃO"))</x:f>
        <x:v>Aguardando saldo</x:v>
      </x:c>
      <x:c r="C9" s="85" t="inlineStr">
        <x:is>
          <x:t xml:space="preserve">Status automático</x:t>
        </x:is>
      </x:c>
      <x:c r="D9" s="107" t="n"/>
      <x:c r="E9" s="107" t="n"/>
      <x:c r="F9" s="107" t="n"/>
      <x:c r="G9" s="107" t="n"/>
    </x:row>
    <x:row r="10" ht="10" customHeight="1">
      <x:c r="A10" s="52" t="n"/>
      <x:c r="B10" s="52" t="n"/>
      <x:c r="C10" s="52" t="n"/>
      <x:c r="D10" s="52" t="n"/>
      <x:c r="E10" s="52" t="n"/>
      <x:c r="F10" s="52" t="n"/>
      <x:c r="G10" s="52" t="n"/>
    </x:row>
    <x:row r="11" ht="10" customHeight="1">
      <x:c r="A11" s="52" t="n"/>
      <x:c r="B11" s="52" t="n"/>
      <x:c r="C11" s="52" t="n"/>
      <x:c r="D11" s="52" t="n"/>
      <x:c r="E11" s="52" t="n"/>
      <x:c r="F11" s="52" t="n"/>
      <x:c r="G11" s="52" t="n"/>
    </x:row>
    <x:row r="12" ht="24" customHeight="1">
      <x:c r="A12" s="80" t="inlineStr">
        <x:is>
          <x:t xml:space="preserve">Mês</x:t>
        </x:is>
      </x:c>
      <x:c r="B12" s="81" t="inlineStr">
        <x:is>
          <x:t xml:space="preserve">Saldo previsto</x:t>
        </x:is>
      </x:c>
      <x:c r="C12" s="81" t="inlineStr">
        <x:is>
          <x:t xml:space="preserve">Aporte previsto</x:t>
        </x:is>
      </x:c>
      <x:c r="D12" s="81" t="inlineStr">
        <x:is>
          <x:t xml:space="preserve">Saldo real</x:t>
        </x:is>
      </x:c>
      <x:c r="E12" s="81" t="inlineStr">
        <x:is>
          <x:t xml:space="preserve">Diferença</x:t>
        </x:is>
      </x:c>
      <x:c r="F12" s="81" t="inlineStr">
        <x:is>
          <x:t xml:space="preserve">% da meta</x:t>
        </x:is>
      </x:c>
      <x:c r="G12" s="52" t="n"/>
    </x:row>
    <x:row r="13" ht="22" customHeight="1">
      <x:c r="A13" s="82" t="inlineStr">
        <x:is>
          <x:t xml:space="preserve">Antes de outubro</x:t>
        </x:is>
      </x:c>
      <x:c r="B13" s="96" t="n">
        <x:f>4489.89-'Orçamento mensal'!B6</x:f>
        <x:v>4007.8900000000003</x:v>
      </x:c>
      <x:c r="C13" s="96" t="n"/>
      <x:c r="D13" s="83" t="n"/>
      <x:c r="E13" s="96" t="n"/>
      <x:c r="F13" s="84" t="n"/>
      <x:c r="G13" s="52" t="n"/>
    </x:row>
    <x:row r="14" ht="22" customHeight="1">
      <x:c r="A14" s="86" t="inlineStr">
        <x:is>
          <x:t xml:space="preserve">Outubro</x:t>
        </x:is>
      </x:c>
      <x:c r="B14" s="99" t="n">
        <x:f>B13+C14</x:f>
        <x:v>4489.89</x:v>
      </x:c>
      <x:c r="C14" s="99" t="n">
        <x:f>'Orçamento mensal'!B6</x:f>
        <x:v>482</x:v>
      </x:c>
      <x:c r="D14" s="83" t="n"/>
      <x:c r="E14" s="99" t="str">
        <x:f>IF(D14="","",D14-B14)</x:f>
      </x:c>
      <x:c r="F14" s="87" t="n">
        <x:f>IFERROR(B14/$B$5,0)</x:f>
        <x:v>0.8232454266587702</x:v>
      </x:c>
      <x:c r="G14" s="52" t="n"/>
    </x:row>
    <x:row r="15" ht="22" customHeight="1">
      <x:c r="A15" s="82" t="inlineStr">
        <x:is>
          <x:t xml:space="preserve">Novembro</x:t>
        </x:is>
      </x:c>
      <x:c r="B15" s="96" t="n">
        <x:f>B14+C15</x:f>
        <x:v>4971.89</x:v>
      </x:c>
      <x:c r="C15" s="96" t="n">
        <x:f>'Orçamento mensal'!B6</x:f>
        <x:v>482</x:v>
      </x:c>
      <x:c r="D15" s="83" t="n"/>
      <x:c r="E15" s="96" t="str">
        <x:f>IF(D15="","",D15-B15)</x:f>
      </x:c>
      <x:c r="F15" s="84" t="n">
        <x:f>IFERROR(B15/$B$5,0)</x:f>
        <x:v>0.911622713329385</x:v>
      </x:c>
      <x:c r="G15" s="52" t="n"/>
    </x:row>
    <x:row r="16" ht="22" customHeight="1">
      <x:c r="A16" s="86" t="inlineStr">
        <x:is>
          <x:t xml:space="preserve">Dezembro</x:t>
        </x:is>
      </x:c>
      <x:c r="B16" s="99" t="n">
        <x:f>B15+C16</x:f>
        <x:v>5453.89</x:v>
      </x:c>
      <x:c r="C16" s="99" t="n">
        <x:f>'Orçamento mensal'!B6</x:f>
        <x:v>482</x:v>
      </x:c>
      <x:c r="D16" s="83" t="n"/>
      <x:c r="E16" s="99" t="str">
        <x:f>IF(D16="","",D16-B16)</x:f>
      </x:c>
      <x:c r="F16" s="87" t="n">
        <x:f>IFERROR(B16/$B$5,0)</x:f>
        <x:v>1</x:v>
      </x:c>
      <x:c r="G16" s="52" t="n"/>
    </x:row>
    <x:row r="17" ht="10" customHeight="1">
      <x:c r="A17" s="52" t="n"/>
      <x:c r="B17" s="52" t="n"/>
      <x:c r="C17" s="52" t="n"/>
      <x:c r="D17" s="52" t="n"/>
      <x:c r="E17" s="52" t="n"/>
      <x:c r="F17" s="52" t="n"/>
      <x:c r="G17" s="52" t="n"/>
    </x:row>
    <x:row r="18">
      <x:c r="A18" s="52" t="n"/>
      <x:c r="B18" s="52" t="n"/>
      <x:c r="C18" s="52" t="n"/>
      <x:c r="D18" s="52" t="n"/>
      <x:c r="E18" s="52" t="n"/>
      <x:c r="F18" s="52" t="n"/>
      <x:c r="G18" s="52" t="n"/>
    </x:row>
    <x:row r="19" ht="26" customHeight="1">
      <x:c r="A19" s="112" t="inlineStr">
        <x:is>
          <x:t xml:space="preserve">Os valores previstos não são depósitos confirmados. Preencha o saldo real a cada mês.</x:t>
        </x:is>
      </x:c>
      <x:c r="B19" s="113" t="n"/>
      <x:c r="C19" s="113" t="n"/>
      <x:c r="D19" s="113" t="n"/>
      <x:c r="E19" s="113" t="n"/>
      <x:c r="F19" s="113" t="n"/>
      <x:c r="G19" s="113" t="n"/>
    </x:row>
    <x:row r="20">
      <x:c r="A20" s="52" t="n"/>
      <x:c r="B20" s="52" t="n"/>
      <x:c r="C20" s="52" t="n"/>
      <x:c r="D20" s="52" t="n"/>
      <x:c r="E20" s="52" t="n"/>
      <x:c r="F20" s="52" t="n"/>
      <x:c r="G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</x:row>
    <x:row r="22">
      <x:c r="A22" s="52" t="n"/>
      <x:c r="B22" s="52" t="n"/>
      <x:c r="C22" s="52" t="n"/>
      <x:c r="D22" s="52" t="n"/>
      <x:c r="E22" s="52" t="n"/>
      <x:c r="F22" s="52" t="n"/>
      <x:c r="G22" s="52" t="n"/>
    </x:row>
  </x:sheetData>
  <x:mergeCells>
    <x:mergeCell ref="C4:G4"/>
    <x:mergeCell ref="C7:G7"/>
    <x:mergeCell ref="A19:G19"/>
    <x:mergeCell ref="A1:G2"/>
    <x:mergeCell ref="C6:G6"/>
    <x:mergeCell ref="A3:G3"/>
    <x:mergeCell ref="C5:G5"/>
    <x:mergeCell ref="C8:G8"/>
    <x:mergeCell ref="C9:G9"/>
  </x:mergeCells>
  <x:conditionalFormatting sqref="B9:B9">
    <x:cfRule type="cellIs" dxfId="2" priority="1" operator="equal">
      <x:formula>"SIM"</x:formula>
    </x:cfRule>
    <x:cfRule type="cellIs" dxfId="1" priority="2" operator="equal">
      <x:formula>"NÃO"</x:formula>
    </x:cfRule>
    <x:cfRule type="cellIs" dxfId="3" priority="3" operator="equal">
      <x:formula>"Aguardando saldo"</x:formula>
    </x:cfRule>
  </x:conditionalFormatting>
  <x:conditionalFormatting sqref="B8:B8">
    <x:cfRule type="dataBar" priority="4">
      <x:dataBar showValue="1">
        <x:cfvo type="num" val="0"/>
        <x:cfvo type="num" val="1"/>
        <x:color rgb="005EEAD4"/>
      </x:dataBar>
    </x:cfRule>
  </x:conditionalFormatting>
  <x:conditionalFormatting sqref="F14:F16">
    <x:cfRule type="dataBar" priority="5">
      <x:dataBar showValue="1">
        <x:cfvo type="num" val="0"/>
        <x:cfvo type="num" val="1"/>
        <x:color rgb="005EEAD4"/>
      </x:dataBar>
    </x:cfRule>
  </x:conditionalFormatting>
  <x:conditionalFormatting sqref="E14:E16">
    <x:cfRule type="cellIs" dxfId="4" priority="6" operator="lessThan">
      <x:formula>0</x:formula>
    </x:cfRule>
    <x:cfRule type="expression" dxfId="5" priority="7">
      <x:formula>AND(ISNUMBER(E14),E14&gt;=0)</x:formula>
    </x:cfRule>
  </x:conditionalFormatting>
  <x:pageMargins left="0.7" right="0.7" top="0.75" bottom="0.75" header="0.3" footer="0.3"/>
  <x:drawing xmlns:r="http://schemas.openxmlformats.org/officeDocument/2006/relationships" r:id="R78fb9cef971c4c25"/>
</x:worksheet>
</file>

<file path=xl/worksheets/sheet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7" hidden="0" customWidth="1"/>
  </x:cols>
  <x:sheetData>
    <x:row r="1" ht="27" customHeight="1">
      <x:c r="A1" s="203" t="str">
        <x:v>PROJEÇÃO FINANCEIRA 2027  •  31 DE DEZEMBRO</x:v>
      </x:c>
      <x:c r="B1" s="203"/>
      <x:c r="C1" s="203"/>
      <x:c r="D1" s="203"/>
      <x:c r="E1" s="203"/>
      <x:c r="F1" s="203"/>
      <x:c r="G1" s="203"/>
      <x:c r="H1" s="203"/>
      <x:c r="I1" s="203"/>
      <x:c r="J1" s="203"/>
    </x:row>
    <x:row r="2" ht="27" customHeight="1">
      <x:c r="A2" s="203"/>
      <x:c r="B2" s="203"/>
      <x:c r="C2" s="203"/>
      <x:c r="D2" s="203"/>
      <x:c r="E2" s="203"/>
      <x:c r="F2" s="203"/>
      <x:c r="G2" s="203"/>
      <x:c r="H2" s="203"/>
      <x:c r="I2" s="203"/>
      <x:c r="J2" s="203"/>
    </x:row>
    <x:row r="3">
      <x:c r="A3" t="str">
        <x:v>Base: orçamento mensal atual e saldo previsto de dezembro/2026. Sem juros, reajustes ou 13º salário.</x:v>
      </x:c>
    </x:row>
    <x:row r="5" ht="30" customHeight="1">
      <x:c r="A5" s="206" t="str">
        <x:v>PARÂMETROS EDITÁVEIS</x:v>
      </x:c>
      <x:c r="B5" s="206" t="str">
        <x:v>VALOR (R$)</x:v>
      </x:c>
      <x:c r="D5" s="206" t="str">
        <x:v>RESULTADOS EM 31/12/2027</x:v>
      </x:c>
      <x:c r="E5" s="206" t="str">
        <x:v>VALOR (R$)</x:v>
      </x:c>
      <x:c r="G5" s="206" t="str">
        <x:v>INDICADOR</x:v>
      </x:c>
      <x:c r="H5" s="206" t="str">
        <x:v>RESULTADO</x:v>
      </x:c>
    </x:row>
    <x:row r="6">
      <x:c r="A6" t="str">
        <x:v>Salário mensal 2027</x:v>
      </x:c>
      <x:c r="B6" s="211" t="n">
        <x:f>'Orçamento mensal'!B5</x:f>
        <x:v>1621</x:v>
      </x:c>
      <x:c r="D6" t="str">
        <x:v>Salários recebidos em 2027</x:v>
      </x:c>
      <x:c r="E6" s="211" t="n">
        <x:f>B6*B12</x:f>
        <x:v>19452</x:v>
      </x:c>
      <x:c r="G6" t="str">
        <x:v>% do salário em despesas</x:v>
      </x:c>
      <x:c r="H6" s="127" t="n">
        <x:f>IFERROR(B7/B6,0)</x:f>
        <x:v>0.40900678593460826</x:v>
      </x:c>
    </x:row>
    <x:row r="7">
      <x:c r="A7" t="str">
        <x:v>Gastos mensais 2027</x:v>
      </x:c>
      <x:c r="B7" s="211" t="n">
        <x:f>'Orçamento mensal'!B18</x:f>
        <x:v>663</x:v>
      </x:c>
      <x:c r="D7" t="str">
        <x:v>Despesas do ano</x:v>
      </x:c>
      <x:c r="E7" s="211" t="n">
        <x:f>B7*B12</x:f>
        <x:v>7956</x:v>
      </x:c>
      <x:c r="G7" t="str">
        <x:v>% do salário guardado</x:v>
      </x:c>
      <x:c r="H7" s="127" t="n">
        <x:f>IFERROR((B8+B9)/B6,0)</x:f>
        <x:v>0.5909932140653917</x:v>
      </x:c>
    </x:row>
    <x:row r="8">
      <x:c r="A8" t="str">
        <x:v>Aporte investimento/mês</x:v>
      </x:c>
      <x:c r="B8" s="211" t="n">
        <x:f>'Orçamento mensal'!B6</x:f>
        <x:v>482</x:v>
      </x:c>
      <x:c r="D8" t="str">
        <x:v>Investido no ano</x:v>
      </x:c>
      <x:c r="E8" s="211" t="n">
        <x:f>B8*B12</x:f>
        <x:v>5784</x:v>
      </x:c>
      <x:c r="G8" t="str">
        <x:v>Saldo mensal livre</x:v>
      </x:c>
      <x:c r="H8" s="211" t="n">
        <x:f>B6-B7-B8-B9</x:f>
        <x:v>0</x:v>
      </x:c>
    </x:row>
    <x:row r="9">
      <x:c r="A9" t="str">
        <x:v>Reserva de emergência/mês</x:v>
      </x:c>
      <x:c r="B9" s="211" t="n">
        <x:f>'Orçamento mensal'!B7</x:f>
        <x:v>476</x:v>
      </x:c>
      <x:c r="D9" t="str">
        <x:v>Reserva adicionada no ano</x:v>
      </x:c>
      <x:c r="E9" s="211" t="n">
        <x:f>B9*B12</x:f>
        <x:v>5712</x:v>
      </x:c>
      <x:c r="G9" t="str">
        <x:v>Saldo disponível no ano</x:v>
      </x:c>
      <x:c r="H9" s="211" t="n">
        <x:f>H8*B12</x:f>
        <x:v>0</x:v>
      </x:c>
    </x:row>
    <x:row r="10">
      <x:c r="A10" t="str">
        <x:v>Investimentos em 31/12/2026</x:v>
      </x:c>
      <x:c r="B10" s="211" t="n">
        <x:f>'Meta 2026'!B16</x:f>
        <x:v>5453.89</x:v>
      </x:c>
      <x:c r="D10" t="str">
        <x:v>Investimentos acumulados</x:v>
      </x:c>
      <x:c r="E10" s="211" t="n">
        <x:f>B10+E8</x:f>
        <x:v>11237.89</x:v>
      </x:c>
      <x:c r="G10" t="str">
        <x:v>Rendimento considerado</x:v>
      </x:c>
      <x:c r="H10" t="str">
        <x:v>Não incluído</x:v>
      </x:c>
    </x:row>
    <x:row r="11">
      <x:c r="A11" t="str">
        <x:v>Reserva em 31/12/2026</x:v>
      </x:c>
      <x:c r="B11" s="212" t="n">
        <x:v>0</x:v>
      </x:c>
      <x:c r="D11" t="str">
        <x:v>Reserva acumulada</x:v>
      </x:c>
      <x:c r="E11" s="211" t="n">
        <x:f>B11+E9</x:f>
        <x:v>5712</x:v>
      </x:c>
    </x:row>
    <x:row r="12">
      <x:c r="A12" t="str">
        <x:v>Meses de aportes recebidos em 2027</x:v>
      </x:c>
      <x:c r="B12" s="210" t="n">
        <x:v>12</x:v>
      </x:c>
      <x:c r="D12" s="208" t="str">
        <x:v>Patrimônio guardado total</x:v>
      </x:c>
      <x:c r="E12" s="213" t="n">
        <x:f>E10+E11</x:f>
        <x:v>16949.89</x:v>
      </x:c>
    </x:row>
    <x:row r="15" ht="30" customHeight="1">
      <x:c r="A15" s="206" t="str">
        <x:v>MÊS</x:v>
      </x:c>
      <x:c r="B15" s="206" t="str">
        <x:v>SALÁRIO</x:v>
      </x:c>
      <x:c r="C15" s="206" t="str">
        <x:v>GASTOS</x:v>
      </x:c>
      <x:c r="D15" s="206" t="str">
        <x:v>INVESTIDO NO MÊS</x:v>
      </x:c>
      <x:c r="E15" s="206" t="str">
        <x:v>RESERVA NO MÊS</x:v>
      </x:c>
      <x:c r="F15" s="206" t="str">
        <x:v>LIVRE NO MÊS</x:v>
      </x:c>
      <x:c r="G15" s="206" t="str">
        <x:v>INVEST. ACUMULADO</x:v>
      </x:c>
      <x:c r="H15" s="206" t="str">
        <x:v>RESERVA ACUMULADA</x:v>
      </x:c>
      <x:c r="I15" s="206" t="str">
        <x:v>TOTAL GUARDADO</x:v>
      </x:c>
      <x:c r="J15" s="206" t="str">
        <x:v>% DO SALÁRIO GUARDADO</x:v>
      </x:c>
    </x:row>
    <x:row r="16">
      <x:c r="A16" t="str">
        <x:v>Janeiro</x:v>
      </x:c>
      <x:c r="B16" s="211" t="n">
        <x:f>$B$6</x:f>
        <x:v>1621</x:v>
      </x:c>
      <x:c r="C16" s="211" t="n">
        <x:f>$B$7</x:f>
        <x:v>663</x:v>
      </x:c>
      <x:c r="D16" s="211" t="n">
        <x:f>$B$8</x:f>
        <x:v>482</x:v>
      </x:c>
      <x:c r="E16" s="211" t="n">
        <x:f>$B$9</x:f>
        <x:v>476</x:v>
      </x:c>
      <x:c r="F16" s="211" t="n">
        <x:f>B16-C16-D16-E16</x:f>
        <x:v>0</x:v>
      </x:c>
      <x:c r="G16" s="211" t="n">
        <x:f>$B$10+SUM($D$16:D16)</x:f>
        <x:v>5935.89</x:v>
      </x:c>
      <x:c r="H16" s="211" t="n">
        <x:f>$B$11+SUM($E$16:E16)</x:f>
        <x:v>476</x:v>
      </x:c>
      <x:c r="I16" s="211" t="n">
        <x:f>G16+H16</x:f>
        <x:v>6411.89</x:v>
      </x:c>
      <x:c r="J16" s="127" t="n">
        <x:f>IFERROR((D16+E16)/B16,0)</x:f>
        <x:v>0.5909932140653917</x:v>
      </x:c>
    </x:row>
    <x:row r="17">
      <x:c r="A17" t="str">
        <x:v>Fevereiro</x:v>
      </x:c>
      <x:c r="B17" s="211" t="n">
        <x:f>$B$6</x:f>
        <x:v>1621</x:v>
      </x:c>
      <x:c r="C17" s="211" t="n">
        <x:f>$B$7</x:f>
        <x:v>663</x:v>
      </x:c>
      <x:c r="D17" s="211" t="n">
        <x:f>$B$8</x:f>
        <x:v>482</x:v>
      </x:c>
      <x:c r="E17" s="211" t="n">
        <x:f>$B$9</x:f>
        <x:v>476</x:v>
      </x:c>
      <x:c r="F17" s="211" t="n">
        <x:f>B17-C17-D17-E17</x:f>
        <x:v>0</x:v>
      </x:c>
      <x:c r="G17" s="211" t="n">
        <x:f>$B$10+SUM($D$16:D17)</x:f>
        <x:v>6417.89</x:v>
      </x:c>
      <x:c r="H17" s="211" t="n">
        <x:f>$B$11+SUM($E$16:E17)</x:f>
        <x:v>952</x:v>
      </x:c>
      <x:c r="I17" s="211" t="n">
        <x:f>G17+H17</x:f>
        <x:v>7369.89</x:v>
      </x:c>
      <x:c r="J17" s="127" t="n">
        <x:f>IFERROR((D17+E17)/B17,0)</x:f>
        <x:v>0.5909932140653917</x:v>
      </x:c>
    </x:row>
    <x:row r="18">
      <x:c r="A18" t="str">
        <x:v>Março</x:v>
      </x:c>
      <x:c r="B18" s="211" t="n">
        <x:f>$B$6</x:f>
        <x:v>1621</x:v>
      </x:c>
      <x:c r="C18" s="211" t="n">
        <x:f>$B$7</x:f>
        <x:v>663</x:v>
      </x:c>
      <x:c r="D18" s="211" t="n">
        <x:f>$B$8</x:f>
        <x:v>482</x:v>
      </x:c>
      <x:c r="E18" s="211" t="n">
        <x:f>$B$9</x:f>
        <x:v>476</x:v>
      </x:c>
      <x:c r="F18" s="211" t="n">
        <x:f>B18-C18-D18-E18</x:f>
        <x:v>0</x:v>
      </x:c>
      <x:c r="G18" s="211" t="n">
        <x:f>$B$10+SUM($D$16:D18)</x:f>
        <x:v>6899.89</x:v>
      </x:c>
      <x:c r="H18" s="211" t="n">
        <x:f>$B$11+SUM($E$16:E18)</x:f>
        <x:v>1428</x:v>
      </x:c>
      <x:c r="I18" s="211" t="n">
        <x:f>G18+H18</x:f>
        <x:v>8327.89</x:v>
      </x:c>
      <x:c r="J18" s="127" t="n">
        <x:f>IFERROR((D18+E18)/B18,0)</x:f>
        <x:v>0.5909932140653917</x:v>
      </x:c>
    </x:row>
    <x:row r="19">
      <x:c r="A19" t="str">
        <x:v>Abril</x:v>
      </x:c>
      <x:c r="B19" s="211" t="n">
        <x:f>$B$6</x:f>
        <x:v>1621</x:v>
      </x:c>
      <x:c r="C19" s="211" t="n">
        <x:f>$B$7</x:f>
        <x:v>663</x:v>
      </x:c>
      <x:c r="D19" s="211" t="n">
        <x:f>$B$8</x:f>
        <x:v>482</x:v>
      </x:c>
      <x:c r="E19" s="211" t="n">
        <x:f>$B$9</x:f>
        <x:v>476</x:v>
      </x:c>
      <x:c r="F19" s="211" t="n">
        <x:f>B19-C19-D19-E19</x:f>
        <x:v>0</x:v>
      </x:c>
      <x:c r="G19" s="211" t="n">
        <x:f>$B$10+SUM($D$16:D19)</x:f>
        <x:v>7381.89</x:v>
      </x:c>
      <x:c r="H19" s="211" t="n">
        <x:f>$B$11+SUM($E$16:E19)</x:f>
        <x:v>1904</x:v>
      </x:c>
      <x:c r="I19" s="211" t="n">
        <x:f>G19+H19</x:f>
        <x:v>9285.89</x:v>
      </x:c>
      <x:c r="J19" s="127" t="n">
        <x:f>IFERROR((D19+E19)/B19,0)</x:f>
        <x:v>0.5909932140653917</x:v>
      </x:c>
    </x:row>
    <x:row r="20">
      <x:c r="A20" t="str">
        <x:v>Maio</x:v>
      </x:c>
      <x:c r="B20" s="211" t="n">
        <x:f>$B$6</x:f>
        <x:v>1621</x:v>
      </x:c>
      <x:c r="C20" s="211" t="n">
        <x:f>$B$7</x:f>
        <x:v>663</x:v>
      </x:c>
      <x:c r="D20" s="211" t="n">
        <x:f>$B$8</x:f>
        <x:v>482</x:v>
      </x:c>
      <x:c r="E20" s="211" t="n">
        <x:f>$B$9</x:f>
        <x:v>476</x:v>
      </x:c>
      <x:c r="F20" s="211" t="n">
        <x:f>B20-C20-D20-E20</x:f>
        <x:v>0</x:v>
      </x:c>
      <x:c r="G20" s="211" t="n">
        <x:f>$B$10+SUM($D$16:D20)</x:f>
        <x:v>7863.89</x:v>
      </x:c>
      <x:c r="H20" s="211" t="n">
        <x:f>$B$11+SUM($E$16:E20)</x:f>
        <x:v>2380</x:v>
      </x:c>
      <x:c r="I20" s="211" t="n">
        <x:f>G20+H20</x:f>
        <x:v>10243.89</x:v>
      </x:c>
      <x:c r="J20" s="127" t="n">
        <x:f>IFERROR((D20+E20)/B20,0)</x:f>
        <x:v>0.5909932140653917</x:v>
      </x:c>
    </x:row>
    <x:row r="21">
      <x:c r="A21" t="str">
        <x:v>Junho</x:v>
      </x:c>
      <x:c r="B21" s="211" t="n">
        <x:f>$B$6</x:f>
        <x:v>1621</x:v>
      </x:c>
      <x:c r="C21" s="211" t="n">
        <x:f>$B$7</x:f>
        <x:v>663</x:v>
      </x:c>
      <x:c r="D21" s="211" t="n">
        <x:f>$B$8</x:f>
        <x:v>482</x:v>
      </x:c>
      <x:c r="E21" s="211" t="n">
        <x:f>$B$9</x:f>
        <x:v>476</x:v>
      </x:c>
      <x:c r="F21" s="211" t="n">
        <x:f>B21-C21-D21-E21</x:f>
        <x:v>0</x:v>
      </x:c>
      <x:c r="G21" s="211" t="n">
        <x:f>$B$10+SUM($D$16:D21)</x:f>
        <x:v>8345.89</x:v>
      </x:c>
      <x:c r="H21" s="211" t="n">
        <x:f>$B$11+SUM($E$16:E21)</x:f>
        <x:v>2856</x:v>
      </x:c>
      <x:c r="I21" s="211" t="n">
        <x:f>G21+H21</x:f>
        <x:v>11201.89</x:v>
      </x:c>
      <x:c r="J21" s="127" t="n">
        <x:f>IFERROR((D21+E21)/B21,0)</x:f>
        <x:v>0.5909932140653917</x:v>
      </x:c>
    </x:row>
    <x:row r="22">
      <x:c r="A22" t="str">
        <x:v>Julho</x:v>
      </x:c>
      <x:c r="B22" s="211" t="n">
        <x:f>$B$6</x:f>
        <x:v>1621</x:v>
      </x:c>
      <x:c r="C22" s="211" t="n">
        <x:f>$B$7</x:f>
        <x:v>663</x:v>
      </x:c>
      <x:c r="D22" s="211" t="n">
        <x:f>$B$8</x:f>
        <x:v>482</x:v>
      </x:c>
      <x:c r="E22" s="211" t="n">
        <x:f>$B$9</x:f>
        <x:v>476</x:v>
      </x:c>
      <x:c r="F22" s="211" t="n">
        <x:f>B22-C22-D22-E22</x:f>
        <x:v>0</x:v>
      </x:c>
      <x:c r="G22" s="211" t="n">
        <x:f>$B$10+SUM($D$16:D22)</x:f>
        <x:v>8827.89</x:v>
      </x:c>
      <x:c r="H22" s="211" t="n">
        <x:f>$B$11+SUM($E$16:E22)</x:f>
        <x:v>3332</x:v>
      </x:c>
      <x:c r="I22" s="211" t="n">
        <x:f>G22+H22</x:f>
        <x:v>12159.89</x:v>
      </x:c>
      <x:c r="J22" s="127" t="n">
        <x:f>IFERROR((D22+E22)/B22,0)</x:f>
        <x:v>0.5909932140653917</x:v>
      </x:c>
    </x:row>
    <x:row r="23">
      <x:c r="A23" t="str">
        <x:v>Agosto</x:v>
      </x:c>
      <x:c r="B23" s="211" t="n">
        <x:f>$B$6</x:f>
        <x:v>1621</x:v>
      </x:c>
      <x:c r="C23" s="211" t="n">
        <x:f>$B$7</x:f>
        <x:v>663</x:v>
      </x:c>
      <x:c r="D23" s="211" t="n">
        <x:f>$B$8</x:f>
        <x:v>482</x:v>
      </x:c>
      <x:c r="E23" s="211" t="n">
        <x:f>$B$9</x:f>
        <x:v>476</x:v>
      </x:c>
      <x:c r="F23" s="211" t="n">
        <x:f>B23-C23-D23-E23</x:f>
        <x:v>0</x:v>
      </x:c>
      <x:c r="G23" s="211" t="n">
        <x:f>$B$10+SUM($D$16:D23)</x:f>
        <x:v>9309.89</x:v>
      </x:c>
      <x:c r="H23" s="211" t="n">
        <x:f>$B$11+SUM($E$16:E23)</x:f>
        <x:v>3808</x:v>
      </x:c>
      <x:c r="I23" s="211" t="n">
        <x:f>G23+H23</x:f>
        <x:v>13117.89</x:v>
      </x:c>
      <x:c r="J23" s="127" t="n">
        <x:f>IFERROR((D23+E23)/B23,0)</x:f>
        <x:v>0.5909932140653917</x:v>
      </x:c>
    </x:row>
    <x:row r="24">
      <x:c r="A24" t="str">
        <x:v>Setembro</x:v>
      </x:c>
      <x:c r="B24" s="211" t="n">
        <x:f>$B$6</x:f>
        <x:v>1621</x:v>
      </x:c>
      <x:c r="C24" s="211" t="n">
        <x:f>$B$7</x:f>
        <x:v>663</x:v>
      </x:c>
      <x:c r="D24" s="211" t="n">
        <x:f>$B$8</x:f>
        <x:v>482</x:v>
      </x:c>
      <x:c r="E24" s="211" t="n">
        <x:f>$B$9</x:f>
        <x:v>476</x:v>
      </x:c>
      <x:c r="F24" s="211" t="n">
        <x:f>B24-C24-D24-E24</x:f>
        <x:v>0</x:v>
      </x:c>
      <x:c r="G24" s="211" t="n">
        <x:f>$B$10+SUM($D$16:D24)</x:f>
        <x:v>9791.89</x:v>
      </x:c>
      <x:c r="H24" s="211" t="n">
        <x:f>$B$11+SUM($E$16:E24)</x:f>
        <x:v>4284</x:v>
      </x:c>
      <x:c r="I24" s="211" t="n">
        <x:f>G24+H24</x:f>
        <x:v>14075.89</x:v>
      </x:c>
      <x:c r="J24" s="127" t="n">
        <x:f>IFERROR((D24+E24)/B24,0)</x:f>
        <x:v>0.5909932140653917</x:v>
      </x:c>
    </x:row>
    <x:row r="25">
      <x:c r="A25" t="str">
        <x:v>Outubro</x:v>
      </x:c>
      <x:c r="B25" s="211" t="n">
        <x:f>$B$6</x:f>
        <x:v>1621</x:v>
      </x:c>
      <x:c r="C25" s="211" t="n">
        <x:f>$B$7</x:f>
        <x:v>663</x:v>
      </x:c>
      <x:c r="D25" s="211" t="n">
        <x:f>$B$8</x:f>
        <x:v>482</x:v>
      </x:c>
      <x:c r="E25" s="211" t="n">
        <x:f>$B$9</x:f>
        <x:v>476</x:v>
      </x:c>
      <x:c r="F25" s="211" t="n">
        <x:f>B25-C25-D25-E25</x:f>
        <x:v>0</x:v>
      </x:c>
      <x:c r="G25" s="211" t="n">
        <x:f>$B$10+SUM($D$16:D25)</x:f>
        <x:v>10273.89</x:v>
      </x:c>
      <x:c r="H25" s="211" t="n">
        <x:f>$B$11+SUM($E$16:E25)</x:f>
        <x:v>4760</x:v>
      </x:c>
      <x:c r="I25" s="211" t="n">
        <x:f>G25+H25</x:f>
        <x:v>15033.89</x:v>
      </x:c>
      <x:c r="J25" s="127" t="n">
        <x:f>IFERROR((D25+E25)/B25,0)</x:f>
        <x:v>0.5909932140653917</x:v>
      </x:c>
    </x:row>
    <x:row r="26">
      <x:c r="A26" t="str">
        <x:v>Novembro</x:v>
      </x:c>
      <x:c r="B26" s="211" t="n">
        <x:f>$B$6</x:f>
        <x:v>1621</x:v>
      </x:c>
      <x:c r="C26" s="211" t="n">
        <x:f>$B$7</x:f>
        <x:v>663</x:v>
      </x:c>
      <x:c r="D26" s="211" t="n">
        <x:f>$B$8</x:f>
        <x:v>482</x:v>
      </x:c>
      <x:c r="E26" s="211" t="n">
        <x:f>$B$9</x:f>
        <x:v>476</x:v>
      </x:c>
      <x:c r="F26" s="211" t="n">
        <x:f>B26-C26-D26-E26</x:f>
        <x:v>0</x:v>
      </x:c>
      <x:c r="G26" s="211" t="n">
        <x:f>$B$10+SUM($D$16:D26)</x:f>
        <x:v>10755.89</x:v>
      </x:c>
      <x:c r="H26" s="211" t="n">
        <x:f>$B$11+SUM($E$16:E26)</x:f>
        <x:v>5236</x:v>
      </x:c>
      <x:c r="I26" s="211" t="n">
        <x:f>G26+H26</x:f>
        <x:v>15991.89</x:v>
      </x:c>
      <x:c r="J26" s="127" t="n">
        <x:f>IFERROR((D26+E26)/B26,0)</x:f>
        <x:v>0.5909932140653917</x:v>
      </x:c>
    </x:row>
    <x:row r="27">
      <x:c r="A27" t="str">
        <x:v>Dezembro</x:v>
      </x:c>
      <x:c r="B27" s="211" t="n">
        <x:f>$B$6</x:f>
        <x:v>1621</x:v>
      </x:c>
      <x:c r="C27" s="211" t="n">
        <x:f>$B$7</x:f>
        <x:v>663</x:v>
      </x:c>
      <x:c r="D27" s="211" t="n">
        <x:f>$B$8</x:f>
        <x:v>482</x:v>
      </x:c>
      <x:c r="E27" s="211" t="n">
        <x:f>$B$9</x:f>
        <x:v>476</x:v>
      </x:c>
      <x:c r="F27" s="211" t="n">
        <x:f>B27-C27-D27-E27</x:f>
        <x:v>0</x:v>
      </x:c>
      <x:c r="G27" s="211" t="n">
        <x:f>$B$10+SUM($D$16:D27)</x:f>
        <x:v>11237.89</x:v>
      </x:c>
      <x:c r="H27" s="211" t="n">
        <x:f>$B$11+SUM($E$16:E27)</x:f>
        <x:v>5712</x:v>
      </x:c>
      <x:c r="I27" s="211" t="n">
        <x:f>G27+H27</x:f>
        <x:v>16949.89</x:v>
      </x:c>
      <x:c r="J27" s="127" t="n">
        <x:f>IFERROR((D27+E27)/B27,0)</x:f>
        <x:v>0.5909932140653917</x:v>
      </x:c>
    </x:row>
    <x:row r="28">
      <x:c r="A28" s="208" t="str">
        <x:v>TOTAL 2027</x:v>
      </x:c>
      <x:c r="B28" s="213" t="n">
        <x:f>SUM(B16:B27)</x:f>
        <x:v>19452</x:v>
      </x:c>
      <x:c r="C28" s="213" t="n">
        <x:f>SUM(C16:C27)</x:f>
        <x:v>7956</x:v>
      </x:c>
      <x:c r="D28" s="213" t="n">
        <x:f>SUM(D16:D27)</x:f>
        <x:v>5784</x:v>
      </x:c>
      <x:c r="E28" s="213" t="n">
        <x:f>SUM(E16:E27)</x:f>
        <x:v>5712</x:v>
      </x:c>
      <x:c r="F28" s="213" t="n">
        <x:f>SUM(F16:F27)</x:f>
        <x:v>0</x:v>
      </x:c>
      <x:c r="G28" s="213" t="n">
        <x:f>G27</x:f>
        <x:v>11237.89</x:v>
      </x:c>
      <x:c r="H28" s="213" t="n">
        <x:f>H27</x:f>
        <x:v>5712</x:v>
      </x:c>
      <x:c r="I28" s="213" t="n">
        <x:f>I27</x:f>
        <x:v>16949.89</x:v>
      </x:c>
      <x:c r="J28" s="214" t="n">
        <x:f>IFERROR((D28+E28)/B28,0)</x:f>
        <x:v>0.5909932140653917</x:v>
      </x:c>
    </x:row>
    <x:row r="30">
      <x:c r="A30" t="str">
        <x:v>Atenção: saldo inicial da reserva configurado como R$ 0,00 por falta do dado; edite B11 para sua reserva real em dez/2026.</x:v>
      </x:c>
    </x:row>
    <x:row r="31">
      <x:c r="A31" t="str">
        <x:v>A projeção trata o 12º salário e os aportes de dezembro como recebidos até 31/12/2027; ajuste B12 se não ocorrer.</x:v>
      </x:c>
    </x:row>
  </x:sheetData>
  <x:mergeCells>
    <x:mergeCell ref="A1:J2"/>
    <x:mergeCell ref="A3:J3"/>
    <x:mergeCell ref="A30:J30"/>
    <x:mergeCell ref="A31:J31"/>
  </x:mergeCells>
  <x:pageMargins left="0.7" right="0.7" top="0.75" bottom="0.75" header="0.3" footer="0.3"/>
  <x:drawing xmlns:r="http://schemas.openxmlformats.org/officeDocument/2006/relationships" r:id="Ref9b722df08d496c"/>
</x:worksheet>
</file>